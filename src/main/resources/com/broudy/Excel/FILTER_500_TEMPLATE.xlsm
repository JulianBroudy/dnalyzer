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\Documents\Lama\StackOverflow\DNAnalyzer\src\main\resources\com\broudy\Excel\"/>
    </mc:Choice>
  </mc:AlternateContent>
  <xr:revisionPtr revIDLastSave="0" documentId="13_ncr:1_{9CF377BD-5899-4FDE-8580-B3CA19329614}" xr6:coauthVersionLast="46" xr6:coauthVersionMax="46" xr10:uidLastSave="{00000000-0000-0000-0000-000000000000}"/>
  <bookViews>
    <workbookView xWindow="-109" yWindow="-109" windowWidth="26301" windowHeight="14305" xr2:uid="{00000000-000D-0000-FFFF-FFFF00000000}"/>
  </bookViews>
  <sheets>
    <sheet name="Sheet0" sheetId="1" r:id="rId1"/>
    <sheet name="Sheet1" sheetId="2" r:id="rId2"/>
    <sheet name="Sheet2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3" i="3"/>
  <c r="Y3" i="3"/>
  <c r="Z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3" i="3"/>
  <c r="V2" i="3"/>
  <c r="A1" i="3" l="1"/>
  <c r="F5" i="3" l="1" a="1"/>
  <c r="F5" i="3" s="1"/>
  <c r="Q5" i="3" s="1"/>
  <c r="F7" i="3" a="1"/>
  <c r="F7" i="3" s="1"/>
  <c r="Q7" i="3" s="1"/>
  <c r="F9" i="3" a="1"/>
  <c r="F9" i="3" s="1"/>
  <c r="Q9" i="3" s="1"/>
  <c r="F11" i="3" a="1"/>
  <c r="F11" i="3" s="1"/>
  <c r="Q11" i="3" s="1"/>
  <c r="E13" i="3" a="1"/>
  <c r="E13" i="3" s="1"/>
  <c r="P13" i="3" s="1"/>
  <c r="E15" i="3" a="1"/>
  <c r="E15" i="3" s="1"/>
  <c r="P15" i="3" s="1"/>
  <c r="E17" i="3" a="1"/>
  <c r="E17" i="3" s="1"/>
  <c r="P17" i="3" s="1"/>
  <c r="D19" i="3" a="1"/>
  <c r="D19" i="3" s="1"/>
  <c r="O19" i="3" s="1"/>
  <c r="D21" i="3" a="1"/>
  <c r="D21" i="3" s="1"/>
  <c r="O21" i="3" s="1"/>
  <c r="D23" i="3" a="1"/>
  <c r="D23" i="3" s="1"/>
  <c r="O23" i="3" s="1"/>
  <c r="D25" i="3" a="1"/>
  <c r="D25" i="3" s="1"/>
  <c r="O25" i="3" s="1"/>
  <c r="C27" i="3" a="1"/>
  <c r="C27" i="3" s="1"/>
  <c r="N27" i="3" s="1"/>
  <c r="C29" i="3" a="1"/>
  <c r="C29" i="3" s="1"/>
  <c r="N29" i="3" s="1"/>
  <c r="C31" i="3" a="1"/>
  <c r="C31" i="3" s="1"/>
  <c r="N31" i="3" s="1"/>
  <c r="C33" i="3" a="1"/>
  <c r="C33" i="3" s="1"/>
  <c r="N33" i="3" s="1"/>
  <c r="F34" i="3" a="1"/>
  <c r="F34" i="3" s="1"/>
  <c r="Q34" i="3" s="1"/>
  <c r="E36" i="3" a="1"/>
  <c r="E36" i="3" s="1"/>
  <c r="P36" i="3" s="1"/>
  <c r="E38" i="3" a="1"/>
  <c r="E38" i="3" s="1"/>
  <c r="P38" i="3" s="1"/>
  <c r="E40" i="3" a="1"/>
  <c r="E40" i="3" s="1"/>
  <c r="P40" i="3" s="1"/>
  <c r="E42" i="3" a="1"/>
  <c r="E42" i="3" s="1"/>
  <c r="P42" i="3" s="1"/>
  <c r="E44" i="3" a="1"/>
  <c r="E44" i="3" s="1"/>
  <c r="P44" i="3" s="1"/>
  <c r="E46" i="3" a="1"/>
  <c r="E46" i="3" s="1"/>
  <c r="P46" i="3" s="1"/>
  <c r="E48" i="3" a="1"/>
  <c r="E48" i="3" s="1"/>
  <c r="P48" i="3" s="1"/>
  <c r="E50" i="3" a="1"/>
  <c r="E50" i="3" s="1"/>
  <c r="P50" i="3" s="1"/>
  <c r="D52" i="3" a="1"/>
  <c r="D52" i="3" s="1"/>
  <c r="O52" i="3" s="1"/>
  <c r="D54" i="3" a="1"/>
  <c r="D54" i="3" s="1"/>
  <c r="O54" i="3" s="1"/>
  <c r="D56" i="3" a="1"/>
  <c r="D56" i="3" s="1"/>
  <c r="O56" i="3" s="1"/>
  <c r="D58" i="3" a="1"/>
  <c r="D58" i="3" s="1"/>
  <c r="O58" i="3" s="1"/>
  <c r="C60" i="3" a="1"/>
  <c r="C60" i="3" s="1"/>
  <c r="N60" i="3" s="1"/>
  <c r="C62" i="3" a="1"/>
  <c r="C62" i="3" s="1"/>
  <c r="N62" i="3" s="1"/>
  <c r="C64" i="3" a="1"/>
  <c r="C64" i="3" s="1"/>
  <c r="N64" i="3" s="1"/>
  <c r="C66" i="3" a="1"/>
  <c r="C66" i="3" s="1"/>
  <c r="N66" i="3" s="1"/>
  <c r="C68" i="3" a="1"/>
  <c r="C68" i="3" s="1"/>
  <c r="N68" i="3" s="1"/>
  <c r="C70" i="3" a="1"/>
  <c r="C70" i="3" s="1"/>
  <c r="N70" i="3" s="1"/>
  <c r="C72" i="3" a="1"/>
  <c r="C72" i="3" s="1"/>
  <c r="N72" i="3" s="1"/>
  <c r="C74" i="3" a="1"/>
  <c r="C74" i="3" s="1"/>
  <c r="N74" i="3" s="1"/>
  <c r="C76" i="3" a="1"/>
  <c r="C76" i="3" s="1"/>
  <c r="N76" i="3" s="1"/>
  <c r="C78" i="3" a="1"/>
  <c r="C78" i="3" s="1"/>
  <c r="N78" i="3" s="1"/>
  <c r="C80" i="3" a="1"/>
  <c r="C80" i="3" s="1"/>
  <c r="N80" i="3" s="1"/>
  <c r="C82" i="3" a="1"/>
  <c r="C82" i="3" s="1"/>
  <c r="N82" i="3" s="1"/>
  <c r="C84" i="3" a="1"/>
  <c r="C84" i="3" s="1"/>
  <c r="N84" i="3" s="1"/>
  <c r="F85" i="3" a="1"/>
  <c r="F85" i="3" s="1"/>
  <c r="Q85" i="3" s="1"/>
  <c r="F87" i="3" a="1"/>
  <c r="F87" i="3" s="1"/>
  <c r="Q87" i="3" s="1"/>
  <c r="F89" i="3" a="1"/>
  <c r="F89" i="3" s="1"/>
  <c r="Q89" i="3" s="1"/>
  <c r="D91" i="3" a="1"/>
  <c r="D91" i="3" s="1"/>
  <c r="O91" i="3" s="1"/>
  <c r="C93" i="3" a="1"/>
  <c r="C93" i="3" s="1"/>
  <c r="N93" i="3" s="1"/>
  <c r="F96" i="3" a="1"/>
  <c r="F96" i="3" s="1"/>
  <c r="Q96" i="3" s="1"/>
  <c r="D100" i="3" a="1"/>
  <c r="D100" i="3" s="1"/>
  <c r="O100" i="3" s="1"/>
  <c r="C102" i="3" a="1"/>
  <c r="C102" i="3" s="1"/>
  <c r="N102" i="3" s="1"/>
  <c r="C104" i="3" a="1"/>
  <c r="C104" i="3" s="1"/>
  <c r="N104" i="3" s="1"/>
  <c r="F105" i="3" a="1"/>
  <c r="F105" i="3" s="1"/>
  <c r="Q105" i="3" s="1"/>
  <c r="F107" i="3" a="1"/>
  <c r="F107" i="3" s="1"/>
  <c r="Q107" i="3" s="1"/>
  <c r="F109" i="3" a="1"/>
  <c r="F109" i="3" s="1"/>
  <c r="Q109" i="3" s="1"/>
  <c r="C4" i="3" a="1"/>
  <c r="C4" i="3" s="1"/>
  <c r="N4" i="3" s="1"/>
  <c r="C6" i="3" a="1"/>
  <c r="C6" i="3" s="1"/>
  <c r="N6" i="3" s="1"/>
  <c r="C8" i="3" a="1"/>
  <c r="C8" i="3" s="1"/>
  <c r="N8" i="3" s="1"/>
  <c r="C10" i="3" a="1"/>
  <c r="C10" i="3" s="1"/>
  <c r="N10" i="3" s="1"/>
  <c r="F13" i="3" a="1"/>
  <c r="F13" i="3" s="1"/>
  <c r="Q13" i="3" s="1"/>
  <c r="F15" i="3" a="1"/>
  <c r="F15" i="3" s="1"/>
  <c r="Q15" i="3" s="1"/>
  <c r="F17" i="3" a="1"/>
  <c r="F17" i="3" s="1"/>
  <c r="Q17" i="3" s="1"/>
  <c r="E19" i="3" a="1"/>
  <c r="E19" i="3" s="1"/>
  <c r="P19" i="3" s="1"/>
  <c r="E21" i="3" a="1"/>
  <c r="E21" i="3" s="1"/>
  <c r="P21" i="3" s="1"/>
  <c r="E23" i="3" a="1"/>
  <c r="E23" i="3" s="1"/>
  <c r="P23" i="3" s="1"/>
  <c r="E25" i="3" a="1"/>
  <c r="E25" i="3" s="1"/>
  <c r="P25" i="3" s="1"/>
  <c r="D27" i="3" a="1"/>
  <c r="D27" i="3" s="1"/>
  <c r="O27" i="3" s="1"/>
  <c r="D29" i="3" a="1"/>
  <c r="D29" i="3" s="1"/>
  <c r="O29" i="3" s="1"/>
  <c r="D31" i="3" a="1"/>
  <c r="D31" i="3" s="1"/>
  <c r="O31" i="3" s="1"/>
  <c r="D33" i="3" a="1"/>
  <c r="D33" i="3" s="1"/>
  <c r="O33" i="3" s="1"/>
  <c r="C35" i="3" a="1"/>
  <c r="C35" i="3" s="1"/>
  <c r="N35" i="3" s="1"/>
  <c r="F36" i="3" a="1"/>
  <c r="F36" i="3" s="1"/>
  <c r="Q36" i="3" s="1"/>
  <c r="F38" i="3" a="1"/>
  <c r="F38" i="3" s="1"/>
  <c r="Q38" i="3" s="1"/>
  <c r="F40" i="3" a="1"/>
  <c r="F40" i="3" s="1"/>
  <c r="Q40" i="3" s="1"/>
  <c r="F42" i="3" a="1"/>
  <c r="F42" i="3" s="1"/>
  <c r="Q42" i="3" s="1"/>
  <c r="F44" i="3" a="1"/>
  <c r="F44" i="3" s="1"/>
  <c r="Q44" i="3" s="1"/>
  <c r="F46" i="3" a="1"/>
  <c r="F46" i="3" s="1"/>
  <c r="Q46" i="3" s="1"/>
  <c r="F48" i="3" a="1"/>
  <c r="F48" i="3" s="1"/>
  <c r="Q48" i="3" s="1"/>
  <c r="F50" i="3" a="1"/>
  <c r="F50" i="3" s="1"/>
  <c r="Q50" i="3" s="1"/>
  <c r="E52" i="3" a="1"/>
  <c r="E52" i="3" s="1"/>
  <c r="P52" i="3" s="1"/>
  <c r="E54" i="3" a="1"/>
  <c r="E54" i="3" s="1"/>
  <c r="P54" i="3" s="1"/>
  <c r="E56" i="3" a="1"/>
  <c r="E56" i="3" s="1"/>
  <c r="P56" i="3" s="1"/>
  <c r="E58" i="3" a="1"/>
  <c r="E58" i="3" s="1"/>
  <c r="P58" i="3" s="1"/>
  <c r="D60" i="3" a="1"/>
  <c r="D60" i="3" s="1"/>
  <c r="O60" i="3" s="1"/>
  <c r="D62" i="3" a="1"/>
  <c r="D62" i="3" s="1"/>
  <c r="O62" i="3" s="1"/>
  <c r="D64" i="3" a="1"/>
  <c r="D64" i="3" s="1"/>
  <c r="O64" i="3" s="1"/>
  <c r="D66" i="3" a="1"/>
  <c r="D66" i="3" s="1"/>
  <c r="O66" i="3" s="1"/>
  <c r="D68" i="3" a="1"/>
  <c r="D68" i="3" s="1"/>
  <c r="O68" i="3" s="1"/>
  <c r="D70" i="3" a="1"/>
  <c r="D70" i="3" s="1"/>
  <c r="O70" i="3" s="1"/>
  <c r="D72" i="3" a="1"/>
  <c r="D72" i="3" s="1"/>
  <c r="O72" i="3" s="1"/>
  <c r="D74" i="3" a="1"/>
  <c r="D74" i="3" s="1"/>
  <c r="O74" i="3" s="1"/>
  <c r="D76" i="3" a="1"/>
  <c r="D76" i="3" s="1"/>
  <c r="O76" i="3" s="1"/>
  <c r="D78" i="3" a="1"/>
  <c r="D78" i="3" s="1"/>
  <c r="O78" i="3" s="1"/>
  <c r="D80" i="3" a="1"/>
  <c r="D80" i="3" s="1"/>
  <c r="O80" i="3" s="1"/>
  <c r="D82" i="3" a="1"/>
  <c r="D82" i="3" s="1"/>
  <c r="O82" i="3" s="1"/>
  <c r="D84" i="3" a="1"/>
  <c r="D84" i="3" s="1"/>
  <c r="O84" i="3" s="1"/>
  <c r="C86" i="3" a="1"/>
  <c r="C86" i="3" s="1"/>
  <c r="N86" i="3" s="1"/>
  <c r="C88" i="3" a="1"/>
  <c r="C88" i="3" s="1"/>
  <c r="N88" i="3" s="1"/>
  <c r="E91" i="3" a="1"/>
  <c r="E91" i="3" s="1"/>
  <c r="P91" i="3" s="1"/>
  <c r="D93" i="3" a="1"/>
  <c r="D93" i="3" s="1"/>
  <c r="O93" i="3" s="1"/>
  <c r="C95" i="3" a="1"/>
  <c r="C95" i="3" s="1"/>
  <c r="N95" i="3" s="1"/>
  <c r="C97" i="3" a="1"/>
  <c r="C97" i="3" s="1"/>
  <c r="N97" i="3" s="1"/>
  <c r="E98" i="3" a="1"/>
  <c r="E98" i="3" s="1"/>
  <c r="P98" i="3" s="1"/>
  <c r="E100" i="3" a="1"/>
  <c r="E100" i="3" s="1"/>
  <c r="P100" i="3" s="1"/>
  <c r="D102" i="3" a="1"/>
  <c r="D102" i="3" s="1"/>
  <c r="O102" i="3" s="1"/>
  <c r="D104" i="3" a="1"/>
  <c r="D104" i="3" s="1"/>
  <c r="O104" i="3" s="1"/>
  <c r="C106" i="3" a="1"/>
  <c r="C106" i="3" s="1"/>
  <c r="N106" i="3" s="1"/>
  <c r="C108" i="3" a="1"/>
  <c r="C108" i="3" s="1"/>
  <c r="N108" i="3" s="1"/>
  <c r="C110" i="3" a="1"/>
  <c r="C110" i="3" s="1"/>
  <c r="N110" i="3" s="1"/>
  <c r="F111" i="3" a="1"/>
  <c r="F111" i="3" s="1"/>
  <c r="Q111" i="3" s="1"/>
  <c r="F113" i="3" a="1"/>
  <c r="F113" i="3" s="1"/>
  <c r="Q113" i="3" s="1"/>
  <c r="D4" i="3" a="1"/>
  <c r="D4" i="3" s="1"/>
  <c r="O4" i="3" s="1"/>
  <c r="D6" i="3" a="1"/>
  <c r="D6" i="3" s="1"/>
  <c r="O6" i="3" s="1"/>
  <c r="D8" i="3" a="1"/>
  <c r="D8" i="3" s="1"/>
  <c r="O8" i="3" s="1"/>
  <c r="D10" i="3" a="1"/>
  <c r="D10" i="3" s="1"/>
  <c r="O10" i="3" s="1"/>
  <c r="C12" i="3" a="1"/>
  <c r="C12" i="3" s="1"/>
  <c r="N12" i="3" s="1"/>
  <c r="C14" i="3" a="1"/>
  <c r="C14" i="3" s="1"/>
  <c r="N14" i="3" s="1"/>
  <c r="C16" i="3" a="1"/>
  <c r="C16" i="3" s="1"/>
  <c r="N16" i="3" s="1"/>
  <c r="F19" i="3" a="1"/>
  <c r="F19" i="3" s="1"/>
  <c r="Q19" i="3" s="1"/>
  <c r="F21" i="3" a="1"/>
  <c r="F21" i="3" s="1"/>
  <c r="Q21" i="3" s="1"/>
  <c r="F23" i="3" a="1"/>
  <c r="F23" i="3" s="1"/>
  <c r="Q23" i="3" s="1"/>
  <c r="F25" i="3" a="1"/>
  <c r="F25" i="3" s="1"/>
  <c r="Q25" i="3" s="1"/>
  <c r="E27" i="3" a="1"/>
  <c r="E27" i="3" s="1"/>
  <c r="P27" i="3" s="1"/>
  <c r="E29" i="3" a="1"/>
  <c r="E29" i="3" s="1"/>
  <c r="P29" i="3" s="1"/>
  <c r="E31" i="3" a="1"/>
  <c r="E31" i="3" s="1"/>
  <c r="P31" i="3" s="1"/>
  <c r="E33" i="3" a="1"/>
  <c r="E33" i="3" s="1"/>
  <c r="P33" i="3" s="1"/>
  <c r="D35" i="3" a="1"/>
  <c r="D35" i="3" s="1"/>
  <c r="O35" i="3" s="1"/>
  <c r="C37" i="3" a="1"/>
  <c r="C37" i="3" s="1"/>
  <c r="N37" i="3" s="1"/>
  <c r="C39" i="3" a="1"/>
  <c r="C39" i="3" s="1"/>
  <c r="N39" i="3" s="1"/>
  <c r="C41" i="3" a="1"/>
  <c r="C41" i="3" s="1"/>
  <c r="N41" i="3" s="1"/>
  <c r="C43" i="3" a="1"/>
  <c r="C43" i="3" s="1"/>
  <c r="N43" i="3" s="1"/>
  <c r="C45" i="3" a="1"/>
  <c r="C45" i="3" s="1"/>
  <c r="N45" i="3" s="1"/>
  <c r="C47" i="3" a="1"/>
  <c r="C47" i="3" s="1"/>
  <c r="N47" i="3" s="1"/>
  <c r="C49" i="3" a="1"/>
  <c r="C49" i="3" s="1"/>
  <c r="N49" i="3" s="1"/>
  <c r="C51" i="3" a="1"/>
  <c r="C51" i="3" s="1"/>
  <c r="N51" i="3" s="1"/>
  <c r="F52" i="3" a="1"/>
  <c r="F52" i="3" s="1"/>
  <c r="Q52" i="3" s="1"/>
  <c r="F54" i="3" a="1"/>
  <c r="F54" i="3" s="1"/>
  <c r="Q54" i="3" s="1"/>
  <c r="F56" i="3" a="1"/>
  <c r="F56" i="3" s="1"/>
  <c r="Q56" i="3" s="1"/>
  <c r="F58" i="3" a="1"/>
  <c r="F58" i="3" s="1"/>
  <c r="Q58" i="3" s="1"/>
  <c r="E60" i="3" a="1"/>
  <c r="E60" i="3" s="1"/>
  <c r="P60" i="3" s="1"/>
  <c r="E62" i="3" a="1"/>
  <c r="E62" i="3" s="1"/>
  <c r="P62" i="3" s="1"/>
  <c r="E64" i="3" a="1"/>
  <c r="E64" i="3" s="1"/>
  <c r="P64" i="3" s="1"/>
  <c r="E66" i="3" a="1"/>
  <c r="E66" i="3" s="1"/>
  <c r="P66" i="3" s="1"/>
  <c r="E68" i="3" a="1"/>
  <c r="E68" i="3" s="1"/>
  <c r="P68" i="3" s="1"/>
  <c r="E70" i="3" a="1"/>
  <c r="E70" i="3" s="1"/>
  <c r="P70" i="3" s="1"/>
  <c r="E72" i="3" a="1"/>
  <c r="E72" i="3" s="1"/>
  <c r="P72" i="3" s="1"/>
  <c r="E74" i="3" a="1"/>
  <c r="E74" i="3" s="1"/>
  <c r="P74" i="3" s="1"/>
  <c r="E76" i="3" a="1"/>
  <c r="E76" i="3" s="1"/>
  <c r="P76" i="3" s="1"/>
  <c r="E78" i="3" a="1"/>
  <c r="E78" i="3" s="1"/>
  <c r="P78" i="3" s="1"/>
  <c r="E80" i="3" a="1"/>
  <c r="E80" i="3" s="1"/>
  <c r="P80" i="3" s="1"/>
  <c r="E82" i="3" a="1"/>
  <c r="E82" i="3" s="1"/>
  <c r="P82" i="3" s="1"/>
  <c r="E84" i="3" a="1"/>
  <c r="E84" i="3" s="1"/>
  <c r="P84" i="3" s="1"/>
  <c r="D86" i="3" a="1"/>
  <c r="D86" i="3" s="1"/>
  <c r="O86" i="3" s="1"/>
  <c r="E4" i="3" a="1"/>
  <c r="E4" i="3" s="1"/>
  <c r="P4" i="3" s="1"/>
  <c r="E6" i="3" a="1"/>
  <c r="E6" i="3" s="1"/>
  <c r="P6" i="3" s="1"/>
  <c r="E8" i="3" a="1"/>
  <c r="E8" i="3" s="1"/>
  <c r="P8" i="3" s="1"/>
  <c r="E10" i="3" a="1"/>
  <c r="E10" i="3" s="1"/>
  <c r="P10" i="3" s="1"/>
  <c r="D12" i="3" a="1"/>
  <c r="D12" i="3" s="1"/>
  <c r="O12" i="3" s="1"/>
  <c r="D14" i="3" a="1"/>
  <c r="D14" i="3" s="1"/>
  <c r="O14" i="3" s="1"/>
  <c r="D16" i="3" a="1"/>
  <c r="D16" i="3" s="1"/>
  <c r="O16" i="3" s="1"/>
  <c r="C18" i="3" a="1"/>
  <c r="C18" i="3" s="1"/>
  <c r="N18" i="3" s="1"/>
  <c r="C20" i="3" a="1"/>
  <c r="C20" i="3" s="1"/>
  <c r="N20" i="3" s="1"/>
  <c r="C22" i="3" a="1"/>
  <c r="C22" i="3" s="1"/>
  <c r="N22" i="3" s="1"/>
  <c r="C24" i="3" a="1"/>
  <c r="C24" i="3" s="1"/>
  <c r="N24" i="3" s="1"/>
  <c r="F27" i="3" a="1"/>
  <c r="F27" i="3" s="1"/>
  <c r="Q27" i="3" s="1"/>
  <c r="F29" i="3" a="1"/>
  <c r="F29" i="3" s="1"/>
  <c r="Q29" i="3" s="1"/>
  <c r="F31" i="3" a="1"/>
  <c r="F31" i="3" s="1"/>
  <c r="Q31" i="3" s="1"/>
  <c r="F33" i="3" a="1"/>
  <c r="F33" i="3" s="1"/>
  <c r="Q33" i="3" s="1"/>
  <c r="E35" i="3" a="1"/>
  <c r="E35" i="3" s="1"/>
  <c r="P35" i="3" s="1"/>
  <c r="D37" i="3" a="1"/>
  <c r="D37" i="3" s="1"/>
  <c r="O37" i="3" s="1"/>
  <c r="D39" i="3" a="1"/>
  <c r="D39" i="3" s="1"/>
  <c r="O39" i="3" s="1"/>
  <c r="D41" i="3" a="1"/>
  <c r="D41" i="3" s="1"/>
  <c r="O41" i="3" s="1"/>
  <c r="D43" i="3" a="1"/>
  <c r="D43" i="3" s="1"/>
  <c r="O43" i="3" s="1"/>
  <c r="D45" i="3" a="1"/>
  <c r="D45" i="3" s="1"/>
  <c r="O45" i="3" s="1"/>
  <c r="D47" i="3" a="1"/>
  <c r="D47" i="3" s="1"/>
  <c r="O47" i="3" s="1"/>
  <c r="D49" i="3" a="1"/>
  <c r="D49" i="3" s="1"/>
  <c r="O49" i="3" s="1"/>
  <c r="D51" i="3" a="1"/>
  <c r="D51" i="3" s="1"/>
  <c r="O51" i="3" s="1"/>
  <c r="C53" i="3" a="1"/>
  <c r="C53" i="3" s="1"/>
  <c r="N53" i="3" s="1"/>
  <c r="C55" i="3" a="1"/>
  <c r="C55" i="3" s="1"/>
  <c r="N55" i="3" s="1"/>
  <c r="C57" i="3" a="1"/>
  <c r="C57" i="3" s="1"/>
  <c r="N57" i="3" s="1"/>
  <c r="C59" i="3" a="1"/>
  <c r="C59" i="3" s="1"/>
  <c r="N59" i="3" s="1"/>
  <c r="F60" i="3" a="1"/>
  <c r="F60" i="3" s="1"/>
  <c r="Q60" i="3" s="1"/>
  <c r="F62" i="3" a="1"/>
  <c r="F62" i="3" s="1"/>
  <c r="Q62" i="3" s="1"/>
  <c r="F4" i="3" a="1"/>
  <c r="F4" i="3" s="1"/>
  <c r="Q4" i="3" s="1"/>
  <c r="F6" i="3" a="1"/>
  <c r="F6" i="3" s="1"/>
  <c r="Q6" i="3" s="1"/>
  <c r="F8" i="3" a="1"/>
  <c r="F8" i="3" s="1"/>
  <c r="Q8" i="3" s="1"/>
  <c r="F10" i="3" a="1"/>
  <c r="F10" i="3" s="1"/>
  <c r="Q10" i="3" s="1"/>
  <c r="E12" i="3" a="1"/>
  <c r="E12" i="3" s="1"/>
  <c r="P12" i="3" s="1"/>
  <c r="E14" i="3" a="1"/>
  <c r="E14" i="3" s="1"/>
  <c r="P14" i="3" s="1"/>
  <c r="E16" i="3" a="1"/>
  <c r="E16" i="3" s="1"/>
  <c r="P16" i="3" s="1"/>
  <c r="D18" i="3" a="1"/>
  <c r="D18" i="3" s="1"/>
  <c r="O18" i="3" s="1"/>
  <c r="D20" i="3" a="1"/>
  <c r="D20" i="3" s="1"/>
  <c r="O20" i="3" s="1"/>
  <c r="D22" i="3" a="1"/>
  <c r="D22" i="3" s="1"/>
  <c r="O22" i="3" s="1"/>
  <c r="D24" i="3" a="1"/>
  <c r="D24" i="3" s="1"/>
  <c r="O24" i="3" s="1"/>
  <c r="C26" i="3" a="1"/>
  <c r="C26" i="3" s="1"/>
  <c r="N26" i="3" s="1"/>
  <c r="C28" i="3" a="1"/>
  <c r="C28" i="3" s="1"/>
  <c r="N28" i="3" s="1"/>
  <c r="C30" i="3" a="1"/>
  <c r="C30" i="3" s="1"/>
  <c r="N30" i="3" s="1"/>
  <c r="C32" i="3" a="1"/>
  <c r="C32" i="3" s="1"/>
  <c r="N32" i="3" s="1"/>
  <c r="F35" i="3" a="1"/>
  <c r="F35" i="3" s="1"/>
  <c r="Q35" i="3" s="1"/>
  <c r="E37" i="3" a="1"/>
  <c r="E37" i="3" s="1"/>
  <c r="P37" i="3" s="1"/>
  <c r="E39" i="3" a="1"/>
  <c r="E39" i="3" s="1"/>
  <c r="P39" i="3" s="1"/>
  <c r="E41" i="3" a="1"/>
  <c r="E41" i="3" s="1"/>
  <c r="P41" i="3" s="1"/>
  <c r="E43" i="3" a="1"/>
  <c r="E43" i="3" s="1"/>
  <c r="P43" i="3" s="1"/>
  <c r="E45" i="3" a="1"/>
  <c r="E45" i="3" s="1"/>
  <c r="P45" i="3" s="1"/>
  <c r="E47" i="3" a="1"/>
  <c r="E47" i="3" s="1"/>
  <c r="P47" i="3" s="1"/>
  <c r="E49" i="3" a="1"/>
  <c r="E49" i="3" s="1"/>
  <c r="P49" i="3" s="1"/>
  <c r="E51" i="3" a="1"/>
  <c r="E51" i="3" s="1"/>
  <c r="P51" i="3" s="1"/>
  <c r="D53" i="3" a="1"/>
  <c r="D53" i="3" s="1"/>
  <c r="O53" i="3" s="1"/>
  <c r="D55" i="3" a="1"/>
  <c r="D55" i="3" s="1"/>
  <c r="O55" i="3" s="1"/>
  <c r="D57" i="3" a="1"/>
  <c r="D57" i="3" s="1"/>
  <c r="O57" i="3" s="1"/>
  <c r="D59" i="3" a="1"/>
  <c r="D59" i="3" s="1"/>
  <c r="O59" i="3" s="1"/>
  <c r="C61" i="3" a="1"/>
  <c r="C61" i="3" s="1"/>
  <c r="N61" i="3" s="1"/>
  <c r="C63" i="3" a="1"/>
  <c r="C63" i="3" s="1"/>
  <c r="N63" i="3" s="1"/>
  <c r="C65" i="3" a="1"/>
  <c r="C65" i="3" s="1"/>
  <c r="N65" i="3" s="1"/>
  <c r="C67" i="3" a="1"/>
  <c r="C67" i="3" s="1"/>
  <c r="N67" i="3" s="1"/>
  <c r="C69" i="3" a="1"/>
  <c r="C69" i="3" s="1"/>
  <c r="N69" i="3" s="1"/>
  <c r="C71" i="3" a="1"/>
  <c r="C71" i="3" s="1"/>
  <c r="N71" i="3" s="1"/>
  <c r="C5" i="3" a="1"/>
  <c r="C5" i="3" s="1"/>
  <c r="N5" i="3" s="1"/>
  <c r="C7" i="3" a="1"/>
  <c r="C7" i="3" s="1"/>
  <c r="N7" i="3" s="1"/>
  <c r="C9" i="3" a="1"/>
  <c r="C9" i="3" s="1"/>
  <c r="N9" i="3" s="1"/>
  <c r="C11" i="3" a="1"/>
  <c r="C11" i="3" s="1"/>
  <c r="N11" i="3" s="1"/>
  <c r="F12" i="3" a="1"/>
  <c r="F12" i="3" s="1"/>
  <c r="Q12" i="3" s="1"/>
  <c r="F14" i="3" a="1"/>
  <c r="F14" i="3" s="1"/>
  <c r="Q14" i="3" s="1"/>
  <c r="F16" i="3" a="1"/>
  <c r="F16" i="3" s="1"/>
  <c r="Q16" i="3" s="1"/>
  <c r="E18" i="3" a="1"/>
  <c r="E18" i="3" s="1"/>
  <c r="P18" i="3" s="1"/>
  <c r="E20" i="3" a="1"/>
  <c r="E20" i="3" s="1"/>
  <c r="P20" i="3" s="1"/>
  <c r="E22" i="3" a="1"/>
  <c r="E22" i="3" s="1"/>
  <c r="P22" i="3" s="1"/>
  <c r="E24" i="3" a="1"/>
  <c r="E24" i="3" s="1"/>
  <c r="P24" i="3" s="1"/>
  <c r="D26" i="3" a="1"/>
  <c r="D26" i="3" s="1"/>
  <c r="O26" i="3" s="1"/>
  <c r="D28" i="3" a="1"/>
  <c r="D28" i="3" s="1"/>
  <c r="O28" i="3" s="1"/>
  <c r="D30" i="3" a="1"/>
  <c r="D30" i="3" s="1"/>
  <c r="O30" i="3" s="1"/>
  <c r="D32" i="3" a="1"/>
  <c r="D32" i="3" s="1"/>
  <c r="O32" i="3" s="1"/>
  <c r="C34" i="3" a="1"/>
  <c r="C34" i="3" s="1"/>
  <c r="N34" i="3" s="1"/>
  <c r="F37" i="3" a="1"/>
  <c r="F37" i="3" s="1"/>
  <c r="Q37" i="3" s="1"/>
  <c r="F39" i="3" a="1"/>
  <c r="F39" i="3" s="1"/>
  <c r="Q39" i="3" s="1"/>
  <c r="F41" i="3" a="1"/>
  <c r="F41" i="3" s="1"/>
  <c r="Q41" i="3" s="1"/>
  <c r="F43" i="3" a="1"/>
  <c r="F43" i="3" s="1"/>
  <c r="Q43" i="3" s="1"/>
  <c r="F45" i="3" a="1"/>
  <c r="F45" i="3" s="1"/>
  <c r="Q45" i="3" s="1"/>
  <c r="F47" i="3" a="1"/>
  <c r="F47" i="3" s="1"/>
  <c r="Q47" i="3" s="1"/>
  <c r="F49" i="3" a="1"/>
  <c r="F49" i="3" s="1"/>
  <c r="Q49" i="3" s="1"/>
  <c r="F51" i="3" a="1"/>
  <c r="F51" i="3" s="1"/>
  <c r="Q51" i="3" s="1"/>
  <c r="E53" i="3" a="1"/>
  <c r="E53" i="3" s="1"/>
  <c r="P53" i="3" s="1"/>
  <c r="E55" i="3" a="1"/>
  <c r="E55" i="3" s="1"/>
  <c r="P55" i="3" s="1"/>
  <c r="E57" i="3" a="1"/>
  <c r="E57" i="3" s="1"/>
  <c r="P57" i="3" s="1"/>
  <c r="E59" i="3" a="1"/>
  <c r="E59" i="3" s="1"/>
  <c r="P59" i="3" s="1"/>
  <c r="D61" i="3" a="1"/>
  <c r="D61" i="3" s="1"/>
  <c r="O61" i="3" s="1"/>
  <c r="D63" i="3" a="1"/>
  <c r="D63" i="3" s="1"/>
  <c r="O63" i="3" s="1"/>
  <c r="D65" i="3" a="1"/>
  <c r="D65" i="3" s="1"/>
  <c r="O65" i="3" s="1"/>
  <c r="D67" i="3" a="1"/>
  <c r="D67" i="3" s="1"/>
  <c r="O67" i="3" s="1"/>
  <c r="D69" i="3" a="1"/>
  <c r="D69" i="3" s="1"/>
  <c r="O69" i="3" s="1"/>
  <c r="D71" i="3" a="1"/>
  <c r="D71" i="3" s="1"/>
  <c r="O71" i="3" s="1"/>
  <c r="D73" i="3" a="1"/>
  <c r="D73" i="3" s="1"/>
  <c r="O73" i="3" s="1"/>
  <c r="D75" i="3" a="1"/>
  <c r="D75" i="3" s="1"/>
  <c r="O75" i="3" s="1"/>
  <c r="D77" i="3" a="1"/>
  <c r="D77" i="3" s="1"/>
  <c r="O77" i="3" s="1"/>
  <c r="D79" i="3" a="1"/>
  <c r="D79" i="3" s="1"/>
  <c r="O79" i="3" s="1"/>
  <c r="D81" i="3" a="1"/>
  <c r="D81" i="3" s="1"/>
  <c r="O81" i="3" s="1"/>
  <c r="D83" i="3" a="1"/>
  <c r="D83" i="3" s="1"/>
  <c r="O83" i="3" s="1"/>
  <c r="C85" i="3" a="1"/>
  <c r="C85" i="3" s="1"/>
  <c r="N85" i="3" s="1"/>
  <c r="C87" i="3" a="1"/>
  <c r="C87" i="3" s="1"/>
  <c r="N87" i="3" s="1"/>
  <c r="C89" i="3" a="1"/>
  <c r="C89" i="3" s="1"/>
  <c r="N89" i="3" s="1"/>
  <c r="E92" i="3" a="1"/>
  <c r="E92" i="3" s="1"/>
  <c r="P92" i="3" s="1"/>
  <c r="D94" i="3" a="1"/>
  <c r="D94" i="3" s="1"/>
  <c r="O94" i="3" s="1"/>
  <c r="C96" i="3" a="1"/>
  <c r="C96" i="3" s="1"/>
  <c r="N96" i="3" s="1"/>
  <c r="F97" i="3" a="1"/>
  <c r="F97" i="3" s="1"/>
  <c r="Q97" i="3" s="1"/>
  <c r="E99" i="3" a="1"/>
  <c r="E99" i="3" s="1"/>
  <c r="P99" i="3" s="1"/>
  <c r="D101" i="3" a="1"/>
  <c r="D101" i="3" s="1"/>
  <c r="O101" i="3" s="1"/>
  <c r="D103" i="3" a="1"/>
  <c r="D103" i="3" s="1"/>
  <c r="O103" i="3" s="1"/>
  <c r="C105" i="3" a="1"/>
  <c r="C105" i="3" s="1"/>
  <c r="N105" i="3" s="1"/>
  <c r="C107" i="3" a="1"/>
  <c r="C107" i="3" s="1"/>
  <c r="N107" i="3" s="1"/>
  <c r="D5" i="3" a="1"/>
  <c r="D5" i="3" s="1"/>
  <c r="O5" i="3" s="1"/>
  <c r="D7" i="3" a="1"/>
  <c r="D7" i="3" s="1"/>
  <c r="O7" i="3" s="1"/>
  <c r="D9" i="3" a="1"/>
  <c r="D9" i="3" s="1"/>
  <c r="O9" i="3" s="1"/>
  <c r="D11" i="3" a="1"/>
  <c r="D11" i="3" s="1"/>
  <c r="O11" i="3" s="1"/>
  <c r="C13" i="3" a="1"/>
  <c r="C13" i="3" s="1"/>
  <c r="N13" i="3" s="1"/>
  <c r="C15" i="3" a="1"/>
  <c r="C15" i="3" s="1"/>
  <c r="N15" i="3" s="1"/>
  <c r="C17" i="3" a="1"/>
  <c r="C17" i="3" s="1"/>
  <c r="N17" i="3" s="1"/>
  <c r="F18" i="3" a="1"/>
  <c r="F18" i="3" s="1"/>
  <c r="Q18" i="3" s="1"/>
  <c r="F20" i="3" a="1"/>
  <c r="F20" i="3" s="1"/>
  <c r="Q20" i="3" s="1"/>
  <c r="F22" i="3" a="1"/>
  <c r="F22" i="3" s="1"/>
  <c r="Q22" i="3" s="1"/>
  <c r="F24" i="3" a="1"/>
  <c r="F24" i="3" s="1"/>
  <c r="Q24" i="3" s="1"/>
  <c r="E26" i="3" a="1"/>
  <c r="E26" i="3" s="1"/>
  <c r="P26" i="3" s="1"/>
  <c r="E28" i="3" a="1"/>
  <c r="E28" i="3" s="1"/>
  <c r="P28" i="3" s="1"/>
  <c r="E30" i="3" a="1"/>
  <c r="E30" i="3" s="1"/>
  <c r="P30" i="3" s="1"/>
  <c r="E32" i="3" a="1"/>
  <c r="E32" i="3" s="1"/>
  <c r="P32" i="3" s="1"/>
  <c r="D34" i="3" a="1"/>
  <c r="D34" i="3" s="1"/>
  <c r="O34" i="3" s="1"/>
  <c r="C36" i="3" a="1"/>
  <c r="C36" i="3" s="1"/>
  <c r="N36" i="3" s="1"/>
  <c r="C38" i="3" a="1"/>
  <c r="C38" i="3" s="1"/>
  <c r="N38" i="3" s="1"/>
  <c r="C40" i="3" a="1"/>
  <c r="C40" i="3" s="1"/>
  <c r="N40" i="3" s="1"/>
  <c r="C42" i="3" a="1"/>
  <c r="C42" i="3" s="1"/>
  <c r="N42" i="3" s="1"/>
  <c r="C44" i="3" a="1"/>
  <c r="C44" i="3" s="1"/>
  <c r="N44" i="3" s="1"/>
  <c r="C46" i="3" a="1"/>
  <c r="C46" i="3" s="1"/>
  <c r="N46" i="3" s="1"/>
  <c r="C48" i="3" a="1"/>
  <c r="C48" i="3" s="1"/>
  <c r="N48" i="3" s="1"/>
  <c r="C50" i="3" a="1"/>
  <c r="C50" i="3" s="1"/>
  <c r="N50" i="3" s="1"/>
  <c r="F53" i="3" a="1"/>
  <c r="F53" i="3" s="1"/>
  <c r="Q53" i="3" s="1"/>
  <c r="E5" i="3" a="1"/>
  <c r="E5" i="3" s="1"/>
  <c r="P5" i="3" s="1"/>
  <c r="E7" i="3" a="1"/>
  <c r="E7" i="3" s="1"/>
  <c r="P7" i="3" s="1"/>
  <c r="E9" i="3" a="1"/>
  <c r="E9" i="3" s="1"/>
  <c r="P9" i="3" s="1"/>
  <c r="E11" i="3" a="1"/>
  <c r="E11" i="3" s="1"/>
  <c r="P11" i="3" s="1"/>
  <c r="D13" i="3" a="1"/>
  <c r="D13" i="3" s="1"/>
  <c r="O13" i="3" s="1"/>
  <c r="D15" i="3" a="1"/>
  <c r="D15" i="3" s="1"/>
  <c r="O15" i="3" s="1"/>
  <c r="D17" i="3" a="1"/>
  <c r="D17" i="3" s="1"/>
  <c r="O17" i="3" s="1"/>
  <c r="C19" i="3" a="1"/>
  <c r="C19" i="3" s="1"/>
  <c r="N19" i="3" s="1"/>
  <c r="C21" i="3" a="1"/>
  <c r="C21" i="3" s="1"/>
  <c r="N21" i="3" s="1"/>
  <c r="C23" i="3" a="1"/>
  <c r="C23" i="3" s="1"/>
  <c r="N23" i="3" s="1"/>
  <c r="C25" i="3" a="1"/>
  <c r="C25" i="3" s="1"/>
  <c r="N25" i="3" s="1"/>
  <c r="F26" i="3" a="1"/>
  <c r="F26" i="3" s="1"/>
  <c r="Q26" i="3" s="1"/>
  <c r="F28" i="3" a="1"/>
  <c r="F28" i="3" s="1"/>
  <c r="Q28" i="3" s="1"/>
  <c r="F30" i="3" a="1"/>
  <c r="F30" i="3" s="1"/>
  <c r="Q30" i="3" s="1"/>
  <c r="F32" i="3" a="1"/>
  <c r="F32" i="3" s="1"/>
  <c r="Q32" i="3" s="1"/>
  <c r="E34" i="3" a="1"/>
  <c r="E34" i="3" s="1"/>
  <c r="P34" i="3" s="1"/>
  <c r="D36" i="3" a="1"/>
  <c r="D36" i="3" s="1"/>
  <c r="O36" i="3" s="1"/>
  <c r="D38" i="3" a="1"/>
  <c r="D38" i="3" s="1"/>
  <c r="O38" i="3" s="1"/>
  <c r="D40" i="3" a="1"/>
  <c r="D40" i="3" s="1"/>
  <c r="O40" i="3" s="1"/>
  <c r="D42" i="3" a="1"/>
  <c r="D42" i="3" s="1"/>
  <c r="O42" i="3" s="1"/>
  <c r="D44" i="3" a="1"/>
  <c r="D44" i="3" s="1"/>
  <c r="O44" i="3" s="1"/>
  <c r="D46" i="3" a="1"/>
  <c r="D46" i="3" s="1"/>
  <c r="O46" i="3" s="1"/>
  <c r="D48" i="3" a="1"/>
  <c r="D48" i="3" s="1"/>
  <c r="O48" i="3" s="1"/>
  <c r="D50" i="3" a="1"/>
  <c r="D50" i="3" s="1"/>
  <c r="O50" i="3" s="1"/>
  <c r="C52" i="3" a="1"/>
  <c r="C52" i="3" s="1"/>
  <c r="N52" i="3" s="1"/>
  <c r="C54" i="3" a="1"/>
  <c r="C54" i="3" s="1"/>
  <c r="N54" i="3" s="1"/>
  <c r="C56" i="3" a="1"/>
  <c r="C56" i="3" s="1"/>
  <c r="N56" i="3" s="1"/>
  <c r="C58" i="3" a="1"/>
  <c r="C58" i="3" s="1"/>
  <c r="N58" i="3" s="1"/>
  <c r="F61" i="3" a="1"/>
  <c r="F61" i="3" s="1"/>
  <c r="Q61" i="3" s="1"/>
  <c r="F63" i="3" a="1"/>
  <c r="F63" i="3" s="1"/>
  <c r="Q63" i="3" s="1"/>
  <c r="F65" i="3" a="1"/>
  <c r="F65" i="3" s="1"/>
  <c r="Q65" i="3" s="1"/>
  <c r="F67" i="3" a="1"/>
  <c r="F67" i="3" s="1"/>
  <c r="Q67" i="3" s="1"/>
  <c r="F69" i="3" a="1"/>
  <c r="F69" i="3" s="1"/>
  <c r="Q69" i="3" s="1"/>
  <c r="F71" i="3" a="1"/>
  <c r="F71" i="3" s="1"/>
  <c r="Q71" i="3" s="1"/>
  <c r="F73" i="3" a="1"/>
  <c r="F73" i="3" s="1"/>
  <c r="Q73" i="3" s="1"/>
  <c r="F75" i="3" a="1"/>
  <c r="F75" i="3" s="1"/>
  <c r="Q75" i="3" s="1"/>
  <c r="F77" i="3" a="1"/>
  <c r="F77" i="3" s="1"/>
  <c r="Q77" i="3" s="1"/>
  <c r="F79" i="3" a="1"/>
  <c r="F79" i="3" s="1"/>
  <c r="Q79" i="3" s="1"/>
  <c r="F81" i="3" a="1"/>
  <c r="F81" i="3" s="1"/>
  <c r="Q81" i="3" s="1"/>
  <c r="F83" i="3" a="1"/>
  <c r="F83" i="3" s="1"/>
  <c r="Q83" i="3" s="1"/>
  <c r="E85" i="3" a="1"/>
  <c r="E85" i="3" s="1"/>
  <c r="P85" i="3" s="1"/>
  <c r="E87" i="3" a="1"/>
  <c r="E87" i="3" s="1"/>
  <c r="P87" i="3" s="1"/>
  <c r="E89" i="3" a="1"/>
  <c r="E89" i="3" s="1"/>
  <c r="P89" i="3" s="1"/>
  <c r="C91" i="3" a="1"/>
  <c r="C91" i="3" s="1"/>
  <c r="N91" i="3" s="1"/>
  <c r="F94" i="3" a="1"/>
  <c r="F94" i="3" s="1"/>
  <c r="Q94" i="3" s="1"/>
  <c r="E96" i="3" a="1"/>
  <c r="E96" i="3" s="1"/>
  <c r="P96" i="3" s="1"/>
  <c r="D98" i="3" a="1"/>
  <c r="D98" i="3" s="1"/>
  <c r="O98" i="3" s="1"/>
  <c r="C100" i="3" a="1"/>
  <c r="C100" i="3" s="1"/>
  <c r="N100" i="3" s="1"/>
  <c r="F101" i="3" a="1"/>
  <c r="F101" i="3" s="1"/>
  <c r="Q101" i="3" s="1"/>
  <c r="F103" i="3" a="1"/>
  <c r="F103" i="3" s="1"/>
  <c r="Q103" i="3" s="1"/>
  <c r="E105" i="3" a="1"/>
  <c r="E105" i="3" s="1"/>
  <c r="P105" i="3" s="1"/>
  <c r="E107" i="3" a="1"/>
  <c r="E107" i="3" s="1"/>
  <c r="P107" i="3" s="1"/>
  <c r="E109" i="3" a="1"/>
  <c r="E109" i="3" s="1"/>
  <c r="P109" i="3" s="1"/>
  <c r="D111" i="3" a="1"/>
  <c r="D111" i="3" s="1"/>
  <c r="O111" i="3" s="1"/>
  <c r="D113" i="3" a="1"/>
  <c r="D113" i="3" s="1"/>
  <c r="O113" i="3" s="1"/>
  <c r="D115" i="3" a="1"/>
  <c r="D115" i="3" s="1"/>
  <c r="O115" i="3" s="1"/>
  <c r="D117" i="3" a="1"/>
  <c r="D117" i="3" s="1"/>
  <c r="O117" i="3" s="1"/>
  <c r="D119" i="3" a="1"/>
  <c r="D119" i="3" s="1"/>
  <c r="O119" i="3" s="1"/>
  <c r="C121" i="3" a="1"/>
  <c r="C121" i="3" s="1"/>
  <c r="N121" i="3" s="1"/>
  <c r="C123" i="3" a="1"/>
  <c r="C123" i="3" s="1"/>
  <c r="N123" i="3" s="1"/>
  <c r="F124" i="3" a="1"/>
  <c r="F124" i="3" s="1"/>
  <c r="Q124" i="3" s="1"/>
  <c r="F126" i="3" a="1"/>
  <c r="F126" i="3" s="1"/>
  <c r="Q126" i="3" s="1"/>
  <c r="E128" i="3" a="1"/>
  <c r="E128" i="3" s="1"/>
  <c r="P128" i="3" s="1"/>
  <c r="D130" i="3" a="1"/>
  <c r="D130" i="3" s="1"/>
  <c r="O130" i="3" s="1"/>
  <c r="D132" i="3" a="1"/>
  <c r="D132" i="3" s="1"/>
  <c r="O132" i="3" s="1"/>
  <c r="D134" i="3" a="1"/>
  <c r="D134" i="3" s="1"/>
  <c r="O134" i="3" s="1"/>
  <c r="D136" i="3" a="1"/>
  <c r="D136" i="3" s="1"/>
  <c r="O136" i="3" s="1"/>
  <c r="C138" i="3" a="1"/>
  <c r="C138" i="3" s="1"/>
  <c r="N138" i="3" s="1"/>
  <c r="C140" i="3" a="1"/>
  <c r="C140" i="3" s="1"/>
  <c r="N140" i="3" s="1"/>
  <c r="F141" i="3" a="1"/>
  <c r="F141" i="3" s="1"/>
  <c r="Q141" i="3" s="1"/>
  <c r="F143" i="3" a="1"/>
  <c r="F143" i="3" s="1"/>
  <c r="Q143" i="3" s="1"/>
  <c r="E145" i="3" a="1"/>
  <c r="E145" i="3" s="1"/>
  <c r="P145" i="3" s="1"/>
  <c r="E147" i="3" a="1"/>
  <c r="E147" i="3" s="1"/>
  <c r="P147" i="3" s="1"/>
  <c r="D149" i="3" a="1"/>
  <c r="D149" i="3" s="1"/>
  <c r="O149" i="3" s="1"/>
  <c r="C151" i="3" a="1"/>
  <c r="C151" i="3" s="1"/>
  <c r="N151" i="3" s="1"/>
  <c r="C153" i="3" a="1"/>
  <c r="C153" i="3" s="1"/>
  <c r="N153" i="3" s="1"/>
  <c r="F154" i="3" a="1"/>
  <c r="F154" i="3" s="1"/>
  <c r="Q154" i="3" s="1"/>
  <c r="E156" i="3" a="1"/>
  <c r="E156" i="3" s="1"/>
  <c r="P156" i="3" s="1"/>
  <c r="E158" i="3" a="1"/>
  <c r="E158" i="3" s="1"/>
  <c r="P158" i="3" s="1"/>
  <c r="E160" i="3" a="1"/>
  <c r="E160" i="3" s="1"/>
  <c r="P160" i="3" s="1"/>
  <c r="C162" i="3" a="1"/>
  <c r="C162" i="3" s="1"/>
  <c r="N162" i="3" s="1"/>
  <c r="F163" i="3" a="1"/>
  <c r="F163" i="3" s="1"/>
  <c r="Q163" i="3" s="1"/>
  <c r="E165" i="3" a="1"/>
  <c r="E165" i="3" s="1"/>
  <c r="P165" i="3" s="1"/>
  <c r="F66" i="3" a="1"/>
  <c r="F66" i="3" s="1"/>
  <c r="Q66" i="3" s="1"/>
  <c r="E73" i="3" a="1"/>
  <c r="E73" i="3" s="1"/>
  <c r="P73" i="3" s="1"/>
  <c r="C79" i="3" a="1"/>
  <c r="C79" i="3" s="1"/>
  <c r="N79" i="3" s="1"/>
  <c r="F84" i="3" a="1"/>
  <c r="F84" i="3" s="1"/>
  <c r="Q84" i="3" s="1"/>
  <c r="F88" i="3" a="1"/>
  <c r="F88" i="3" s="1"/>
  <c r="Q88" i="3" s="1"/>
  <c r="D92" i="3" a="1"/>
  <c r="D92" i="3" s="1"/>
  <c r="O92" i="3" s="1"/>
  <c r="F95" i="3" a="1"/>
  <c r="F95" i="3" s="1"/>
  <c r="Q95" i="3" s="1"/>
  <c r="D99" i="3" a="1"/>
  <c r="D99" i="3" s="1"/>
  <c r="O99" i="3" s="1"/>
  <c r="C103" i="3" a="1"/>
  <c r="C103" i="3" s="1"/>
  <c r="N103" i="3" s="1"/>
  <c r="F106" i="3" a="1"/>
  <c r="F106" i="3" s="1"/>
  <c r="Q106" i="3" s="1"/>
  <c r="E110" i="3" a="1"/>
  <c r="E110" i="3" s="1"/>
  <c r="P110" i="3" s="1"/>
  <c r="F112" i="3" a="1"/>
  <c r="F112" i="3" s="1"/>
  <c r="Q112" i="3" s="1"/>
  <c r="E115" i="3" a="1"/>
  <c r="E115" i="3" s="1"/>
  <c r="P115" i="3" s="1"/>
  <c r="F117" i="3" a="1"/>
  <c r="F117" i="3" s="1"/>
  <c r="Q117" i="3" s="1"/>
  <c r="C120" i="3" a="1"/>
  <c r="C120" i="3" s="1"/>
  <c r="N120" i="3" s="1"/>
  <c r="C122" i="3" a="1"/>
  <c r="C122" i="3" s="1"/>
  <c r="N122" i="3" s="1"/>
  <c r="D124" i="3" a="1"/>
  <c r="D124" i="3" s="1"/>
  <c r="O124" i="3" s="1"/>
  <c r="D126" i="3" a="1"/>
  <c r="D126" i="3" s="1"/>
  <c r="O126" i="3" s="1"/>
  <c r="D128" i="3" a="1"/>
  <c r="D128" i="3" s="1"/>
  <c r="O128" i="3" s="1"/>
  <c r="E130" i="3" a="1"/>
  <c r="E130" i="3" s="1"/>
  <c r="P130" i="3" s="1"/>
  <c r="F132" i="3" a="1"/>
  <c r="F132" i="3" s="1"/>
  <c r="Q132" i="3" s="1"/>
  <c r="C135" i="3" a="1"/>
  <c r="C135" i="3" s="1"/>
  <c r="N135" i="3" s="1"/>
  <c r="C137" i="3" a="1"/>
  <c r="C137" i="3" s="1"/>
  <c r="N137" i="3" s="1"/>
  <c r="D139" i="3" a="1"/>
  <c r="D139" i="3" s="1"/>
  <c r="O139" i="3" s="1"/>
  <c r="D141" i="3" a="1"/>
  <c r="D141" i="3" s="1"/>
  <c r="O141" i="3" s="1"/>
  <c r="E143" i="3" a="1"/>
  <c r="E143" i="3" s="1"/>
  <c r="P143" i="3" s="1"/>
  <c r="F145" i="3" a="1"/>
  <c r="F145" i="3" s="1"/>
  <c r="Q145" i="3" s="1"/>
  <c r="C148" i="3" a="1"/>
  <c r="C148" i="3" s="1"/>
  <c r="N148" i="3" s="1"/>
  <c r="C150" i="3" a="1"/>
  <c r="C150" i="3" s="1"/>
  <c r="N150" i="3" s="1"/>
  <c r="C152" i="3" a="1"/>
  <c r="C152" i="3" s="1"/>
  <c r="N152" i="3" s="1"/>
  <c r="F55" i="3" a="1"/>
  <c r="F55" i="3" s="1"/>
  <c r="Q55" i="3" s="1"/>
  <c r="E67" i="3" a="1"/>
  <c r="E67" i="3" s="1"/>
  <c r="P67" i="3" s="1"/>
  <c r="F74" i="3" a="1"/>
  <c r="F74" i="3" s="1"/>
  <c r="Q74" i="3" s="1"/>
  <c r="E79" i="3" a="1"/>
  <c r="E79" i="3" s="1"/>
  <c r="P79" i="3" s="1"/>
  <c r="D89" i="3" a="1"/>
  <c r="D89" i="3" s="1"/>
  <c r="O89" i="3" s="1"/>
  <c r="F92" i="3" a="1"/>
  <c r="F92" i="3" s="1"/>
  <c r="Q92" i="3" s="1"/>
  <c r="D96" i="3" a="1"/>
  <c r="D96" i="3" s="1"/>
  <c r="O96" i="3" s="1"/>
  <c r="F99" i="3" a="1"/>
  <c r="F99" i="3" s="1"/>
  <c r="Q99" i="3" s="1"/>
  <c r="E103" i="3" a="1"/>
  <c r="E103" i="3" s="1"/>
  <c r="P103" i="3" s="1"/>
  <c r="D107" i="3" a="1"/>
  <c r="D107" i="3" s="1"/>
  <c r="O107" i="3" s="1"/>
  <c r="C113" i="3" a="1"/>
  <c r="C113" i="3" s="1"/>
  <c r="N113" i="3" s="1"/>
  <c r="F115" i="3" a="1"/>
  <c r="F115" i="3" s="1"/>
  <c r="Q115" i="3" s="1"/>
  <c r="C118" i="3" a="1"/>
  <c r="C118" i="3" s="1"/>
  <c r="N118" i="3" s="1"/>
  <c r="D120" i="3" a="1"/>
  <c r="D120" i="3" s="1"/>
  <c r="O120" i="3" s="1"/>
  <c r="D122" i="3" a="1"/>
  <c r="D122" i="3" s="1"/>
  <c r="O122" i="3" s="1"/>
  <c r="E126" i="3" a="1"/>
  <c r="E126" i="3" s="1"/>
  <c r="P126" i="3" s="1"/>
  <c r="F128" i="3" a="1"/>
  <c r="F128" i="3" s="1"/>
  <c r="Q128" i="3" s="1"/>
  <c r="F130" i="3" a="1"/>
  <c r="F130" i="3" s="1"/>
  <c r="Q130" i="3" s="1"/>
  <c r="C133" i="3" a="1"/>
  <c r="C133" i="3" s="1"/>
  <c r="N133" i="3" s="1"/>
  <c r="D135" i="3" a="1"/>
  <c r="D135" i="3" s="1"/>
  <c r="O135" i="3" s="1"/>
  <c r="D137" i="3" a="1"/>
  <c r="D137" i="3" s="1"/>
  <c r="O137" i="3" s="1"/>
  <c r="E139" i="3" a="1"/>
  <c r="E139" i="3" s="1"/>
  <c r="P139" i="3" s="1"/>
  <c r="E141" i="3" a="1"/>
  <c r="E141" i="3" s="1"/>
  <c r="P141" i="3" s="1"/>
  <c r="C144" i="3" a="1"/>
  <c r="C144" i="3" s="1"/>
  <c r="N144" i="3" s="1"/>
  <c r="C146" i="3" a="1"/>
  <c r="C146" i="3" s="1"/>
  <c r="N146" i="3" s="1"/>
  <c r="D148" i="3" a="1"/>
  <c r="D148" i="3" s="1"/>
  <c r="O148" i="3" s="1"/>
  <c r="D150" i="3" a="1"/>
  <c r="D150" i="3" s="1"/>
  <c r="O150" i="3" s="1"/>
  <c r="D152" i="3" a="1"/>
  <c r="D152" i="3" s="1"/>
  <c r="O152" i="3" s="1"/>
  <c r="D154" i="3" a="1"/>
  <c r="D154" i="3" s="1"/>
  <c r="O154" i="3" s="1"/>
  <c r="F158" i="3" a="1"/>
  <c r="F158" i="3" s="1"/>
  <c r="Q158" i="3" s="1"/>
  <c r="F162" i="3" a="1"/>
  <c r="F162" i="3" s="1"/>
  <c r="Q162" i="3" s="1"/>
  <c r="E164" i="3" a="1"/>
  <c r="E164" i="3" s="1"/>
  <c r="P164" i="3" s="1"/>
  <c r="F166" i="3" a="1"/>
  <c r="F166" i="3" s="1"/>
  <c r="Q166" i="3" s="1"/>
  <c r="E168" i="3" a="1"/>
  <c r="E168" i="3" s="1"/>
  <c r="P168" i="3" s="1"/>
  <c r="E170" i="3" a="1"/>
  <c r="E170" i="3" s="1"/>
  <c r="P170" i="3" s="1"/>
  <c r="E172" i="3" a="1"/>
  <c r="E172" i="3" s="1"/>
  <c r="P172" i="3" s="1"/>
  <c r="E174" i="3" a="1"/>
  <c r="E174" i="3" s="1"/>
  <c r="P174" i="3" s="1"/>
  <c r="D176" i="3" a="1"/>
  <c r="D176" i="3" s="1"/>
  <c r="O176" i="3" s="1"/>
  <c r="C180" i="3" a="1"/>
  <c r="C180" i="3" s="1"/>
  <c r="N180" i="3" s="1"/>
  <c r="C182" i="3" a="1"/>
  <c r="C182" i="3" s="1"/>
  <c r="N182" i="3" s="1"/>
  <c r="C184" i="3" a="1"/>
  <c r="C184" i="3" s="1"/>
  <c r="N184" i="3" s="1"/>
  <c r="C186" i="3" a="1"/>
  <c r="C186" i="3" s="1"/>
  <c r="N186" i="3" s="1"/>
  <c r="F187" i="3" a="1"/>
  <c r="F187" i="3" s="1"/>
  <c r="Q187" i="3" s="1"/>
  <c r="F57" i="3" a="1"/>
  <c r="F57" i="3" s="1"/>
  <c r="Q57" i="3" s="1"/>
  <c r="F68" i="3" a="1"/>
  <c r="F68" i="3" s="1"/>
  <c r="Q68" i="3" s="1"/>
  <c r="C75" i="3" a="1"/>
  <c r="C75" i="3" s="1"/>
  <c r="N75" i="3" s="1"/>
  <c r="F80" i="3" a="1"/>
  <c r="F80" i="3" s="1"/>
  <c r="Q80" i="3" s="1"/>
  <c r="D85" i="3" a="1"/>
  <c r="D85" i="3" s="1"/>
  <c r="O85" i="3" s="1"/>
  <c r="C90" i="3" a="1"/>
  <c r="C90" i="3" s="1"/>
  <c r="N90" i="3" s="1"/>
  <c r="E93" i="3" a="1"/>
  <c r="E93" i="3" s="1"/>
  <c r="P93" i="3" s="1"/>
  <c r="D97" i="3" a="1"/>
  <c r="D97" i="3" s="1"/>
  <c r="O97" i="3" s="1"/>
  <c r="E104" i="3" a="1"/>
  <c r="E104" i="3" s="1"/>
  <c r="P104" i="3" s="1"/>
  <c r="D108" i="3" a="1"/>
  <c r="D108" i="3" s="1"/>
  <c r="O108" i="3" s="1"/>
  <c r="F110" i="3" a="1"/>
  <c r="F110" i="3" s="1"/>
  <c r="Q110" i="3" s="1"/>
  <c r="E113" i="3" a="1"/>
  <c r="E113" i="3" s="1"/>
  <c r="P113" i="3" s="1"/>
  <c r="C116" i="3" a="1"/>
  <c r="C116" i="3" s="1"/>
  <c r="N116" i="3" s="1"/>
  <c r="D118" i="3" a="1"/>
  <c r="D118" i="3" s="1"/>
  <c r="O118" i="3" s="1"/>
  <c r="E120" i="3" a="1"/>
  <c r="E120" i="3" s="1"/>
  <c r="P120" i="3" s="1"/>
  <c r="E122" i="3" a="1"/>
  <c r="E122" i="3" s="1"/>
  <c r="P122" i="3" s="1"/>
  <c r="E124" i="3" a="1"/>
  <c r="E124" i="3" s="1"/>
  <c r="P124" i="3" s="1"/>
  <c r="C127" i="3" a="1"/>
  <c r="C127" i="3" s="1"/>
  <c r="N127" i="3" s="1"/>
  <c r="C131" i="3" a="1"/>
  <c r="C131" i="3" s="1"/>
  <c r="N131" i="3" s="1"/>
  <c r="D133" i="3" a="1"/>
  <c r="D133" i="3" s="1"/>
  <c r="O133" i="3" s="1"/>
  <c r="E135" i="3" a="1"/>
  <c r="E135" i="3" s="1"/>
  <c r="P135" i="3" s="1"/>
  <c r="E137" i="3" a="1"/>
  <c r="E137" i="3" s="1"/>
  <c r="P137" i="3" s="1"/>
  <c r="F139" i="3" a="1"/>
  <c r="F139" i="3" s="1"/>
  <c r="Q139" i="3" s="1"/>
  <c r="C142" i="3" a="1"/>
  <c r="C142" i="3" s="1"/>
  <c r="N142" i="3" s="1"/>
  <c r="D144" i="3" a="1"/>
  <c r="D144" i="3" s="1"/>
  <c r="O144" i="3" s="1"/>
  <c r="D146" i="3" a="1"/>
  <c r="D146" i="3" s="1"/>
  <c r="O146" i="3" s="1"/>
  <c r="E150" i="3" a="1"/>
  <c r="E150" i="3" s="1"/>
  <c r="P150" i="3" s="1"/>
  <c r="E152" i="3" a="1"/>
  <c r="E152" i="3" s="1"/>
  <c r="P152" i="3" s="1"/>
  <c r="E154" i="3" a="1"/>
  <c r="E154" i="3" s="1"/>
  <c r="P154" i="3" s="1"/>
  <c r="F156" i="3" a="1"/>
  <c r="F156" i="3" s="1"/>
  <c r="Q156" i="3" s="1"/>
  <c r="C159" i="3" a="1"/>
  <c r="C159" i="3" s="1"/>
  <c r="N159" i="3" s="1"/>
  <c r="C161" i="3" a="1"/>
  <c r="C161" i="3" s="1"/>
  <c r="N161" i="3" s="1"/>
  <c r="C163" i="3" a="1"/>
  <c r="C163" i="3" s="1"/>
  <c r="N163" i="3" s="1"/>
  <c r="F164" i="3" a="1"/>
  <c r="F164" i="3" s="1"/>
  <c r="Q164" i="3" s="1"/>
  <c r="C167" i="3" a="1"/>
  <c r="C167" i="3" s="1"/>
  <c r="N167" i="3" s="1"/>
  <c r="F168" i="3" a="1"/>
  <c r="F168" i="3" s="1"/>
  <c r="Q168" i="3" s="1"/>
  <c r="F170" i="3" a="1"/>
  <c r="F170" i="3" s="1"/>
  <c r="Q170" i="3" s="1"/>
  <c r="F172" i="3" a="1"/>
  <c r="F172" i="3" s="1"/>
  <c r="Q172" i="3" s="1"/>
  <c r="F174" i="3" a="1"/>
  <c r="F174" i="3" s="1"/>
  <c r="Q174" i="3" s="1"/>
  <c r="E176" i="3" a="1"/>
  <c r="E176" i="3" s="1"/>
  <c r="P176" i="3" s="1"/>
  <c r="D178" i="3" a="1"/>
  <c r="D178" i="3" s="1"/>
  <c r="O178" i="3" s="1"/>
  <c r="D180" i="3" a="1"/>
  <c r="D180" i="3" s="1"/>
  <c r="O180" i="3" s="1"/>
  <c r="D182" i="3" a="1"/>
  <c r="D182" i="3" s="1"/>
  <c r="O182" i="3" s="1"/>
  <c r="D184" i="3" a="1"/>
  <c r="D184" i="3" s="1"/>
  <c r="O184" i="3" s="1"/>
  <c r="D186" i="3" a="1"/>
  <c r="D186" i="3" s="1"/>
  <c r="O186" i="3" s="1"/>
  <c r="C188" i="3" a="1"/>
  <c r="C188" i="3" s="1"/>
  <c r="N188" i="3" s="1"/>
  <c r="E189" i="3" a="1"/>
  <c r="E189" i="3" s="1"/>
  <c r="P189" i="3" s="1"/>
  <c r="D191" i="3" a="1"/>
  <c r="D191" i="3" s="1"/>
  <c r="O191" i="3" s="1"/>
  <c r="D193" i="3" a="1"/>
  <c r="D193" i="3" s="1"/>
  <c r="O193" i="3" s="1"/>
  <c r="C195" i="3" a="1"/>
  <c r="C195" i="3" s="1"/>
  <c r="N195" i="3" s="1"/>
  <c r="E196" i="3" a="1"/>
  <c r="E196" i="3" s="1"/>
  <c r="P196" i="3" s="1"/>
  <c r="E198" i="3" a="1"/>
  <c r="E198" i="3" s="1"/>
  <c r="P198" i="3" s="1"/>
  <c r="C200" i="3" a="1"/>
  <c r="C200" i="3" s="1"/>
  <c r="N200" i="3" s="1"/>
  <c r="F201" i="3" a="1"/>
  <c r="F201" i="3" s="1"/>
  <c r="Q201" i="3" s="1"/>
  <c r="F203" i="3" a="1"/>
  <c r="F203" i="3" s="1"/>
  <c r="Q203" i="3" s="1"/>
  <c r="F205" i="3" a="1"/>
  <c r="F205" i="3" s="1"/>
  <c r="Q205" i="3" s="1"/>
  <c r="F207" i="3" a="1"/>
  <c r="F207" i="3" s="1"/>
  <c r="Q207" i="3" s="1"/>
  <c r="E209" i="3" a="1"/>
  <c r="E209" i="3" s="1"/>
  <c r="P209" i="3" s="1"/>
  <c r="D211" i="3" a="1"/>
  <c r="D211" i="3" s="1"/>
  <c r="O211" i="3" s="1"/>
  <c r="C213" i="3" a="1"/>
  <c r="C213" i="3" s="1"/>
  <c r="N213" i="3" s="1"/>
  <c r="C215" i="3" a="1"/>
  <c r="C215" i="3" s="1"/>
  <c r="N215" i="3" s="1"/>
  <c r="E218" i="3" a="1"/>
  <c r="E218" i="3" s="1"/>
  <c r="P218" i="3" s="1"/>
  <c r="D220" i="3" a="1"/>
  <c r="D220" i="3" s="1"/>
  <c r="O220" i="3" s="1"/>
  <c r="C222" i="3" a="1"/>
  <c r="C222" i="3" s="1"/>
  <c r="N222" i="3" s="1"/>
  <c r="F223" i="3" a="1"/>
  <c r="F223" i="3" s="1"/>
  <c r="Q223" i="3" s="1"/>
  <c r="E225" i="3" a="1"/>
  <c r="E225" i="3" s="1"/>
  <c r="P225" i="3" s="1"/>
  <c r="D227" i="3" a="1"/>
  <c r="D227" i="3" s="1"/>
  <c r="O227" i="3" s="1"/>
  <c r="F228" i="3" a="1"/>
  <c r="F228" i="3" s="1"/>
  <c r="Q228" i="3" s="1"/>
  <c r="E230" i="3" a="1"/>
  <c r="E230" i="3" s="1"/>
  <c r="P230" i="3" s="1"/>
  <c r="C232" i="3" a="1"/>
  <c r="C232" i="3" s="1"/>
  <c r="N232" i="3" s="1"/>
  <c r="E233" i="3" a="1"/>
  <c r="E233" i="3" s="1"/>
  <c r="P233" i="3" s="1"/>
  <c r="D235" i="3" a="1"/>
  <c r="D235" i="3" s="1"/>
  <c r="O235" i="3" s="1"/>
  <c r="D237" i="3" a="1"/>
  <c r="D237" i="3" s="1"/>
  <c r="O237" i="3" s="1"/>
  <c r="C239" i="3" a="1"/>
  <c r="C239" i="3" s="1"/>
  <c r="N239" i="3" s="1"/>
  <c r="E240" i="3" a="1"/>
  <c r="E240" i="3" s="1"/>
  <c r="P240" i="3" s="1"/>
  <c r="D242" i="3" a="1"/>
  <c r="D242" i="3" s="1"/>
  <c r="O242" i="3" s="1"/>
  <c r="C244" i="3" a="1"/>
  <c r="C244" i="3" s="1"/>
  <c r="N244" i="3" s="1"/>
  <c r="F59" i="3" a="1"/>
  <c r="F59" i="3" s="1"/>
  <c r="Q59" i="3" s="1"/>
  <c r="E69" i="3" a="1"/>
  <c r="E69" i="3" s="1"/>
  <c r="P69" i="3" s="1"/>
  <c r="E75" i="3" a="1"/>
  <c r="E75" i="3" s="1"/>
  <c r="P75" i="3" s="1"/>
  <c r="C81" i="3" a="1"/>
  <c r="C81" i="3" s="1"/>
  <c r="N81" i="3" s="1"/>
  <c r="E86" i="3" a="1"/>
  <c r="E86" i="3" s="1"/>
  <c r="P86" i="3" s="1"/>
  <c r="D90" i="3" a="1"/>
  <c r="D90" i="3" s="1"/>
  <c r="O90" i="3" s="1"/>
  <c r="F93" i="3" a="1"/>
  <c r="F93" i="3" s="1"/>
  <c r="Q93" i="3" s="1"/>
  <c r="E97" i="3" a="1"/>
  <c r="E97" i="3" s="1"/>
  <c r="P97" i="3" s="1"/>
  <c r="F100" i="3" a="1"/>
  <c r="F100" i="3" s="1"/>
  <c r="Q100" i="3" s="1"/>
  <c r="F104" i="3" a="1"/>
  <c r="F104" i="3" s="1"/>
  <c r="Q104" i="3" s="1"/>
  <c r="E108" i="3" a="1"/>
  <c r="E108" i="3" s="1"/>
  <c r="P108" i="3" s="1"/>
  <c r="C111" i="3" a="1"/>
  <c r="C111" i="3" s="1"/>
  <c r="N111" i="3" s="1"/>
  <c r="C114" i="3" a="1"/>
  <c r="C114" i="3" s="1"/>
  <c r="N114" i="3" s="1"/>
  <c r="D116" i="3" a="1"/>
  <c r="D116" i="3" s="1"/>
  <c r="O116" i="3" s="1"/>
  <c r="E118" i="3" a="1"/>
  <c r="E118" i="3" s="1"/>
  <c r="P118" i="3" s="1"/>
  <c r="F120" i="3" a="1"/>
  <c r="F120" i="3" s="1"/>
  <c r="Q120" i="3" s="1"/>
  <c r="F122" i="3" a="1"/>
  <c r="F122" i="3" s="1"/>
  <c r="Q122" i="3" s="1"/>
  <c r="C125" i="3" a="1"/>
  <c r="C125" i="3" s="1"/>
  <c r="N125" i="3" s="1"/>
  <c r="D127" i="3" a="1"/>
  <c r="D127" i="3" s="1"/>
  <c r="O127" i="3" s="1"/>
  <c r="C129" i="3" a="1"/>
  <c r="C129" i="3" s="1"/>
  <c r="N129" i="3" s="1"/>
  <c r="D131" i="3" a="1"/>
  <c r="D131" i="3" s="1"/>
  <c r="O131" i="3" s="1"/>
  <c r="E133" i="3" a="1"/>
  <c r="E133" i="3" s="1"/>
  <c r="P133" i="3" s="1"/>
  <c r="F135" i="3" a="1"/>
  <c r="F135" i="3" s="1"/>
  <c r="Q135" i="3" s="1"/>
  <c r="E61" i="3" a="1"/>
  <c r="E61" i="3" s="1"/>
  <c r="P61" i="3" s="1"/>
  <c r="F70" i="3" a="1"/>
  <c r="F70" i="3" s="1"/>
  <c r="Q70" i="3" s="1"/>
  <c r="F76" i="3" a="1"/>
  <c r="F76" i="3" s="1"/>
  <c r="Q76" i="3" s="1"/>
  <c r="E81" i="3" a="1"/>
  <c r="E81" i="3" s="1"/>
  <c r="P81" i="3" s="1"/>
  <c r="F86" i="3" a="1"/>
  <c r="F86" i="3" s="1"/>
  <c r="Q86" i="3" s="1"/>
  <c r="E90" i="3" a="1"/>
  <c r="E90" i="3" s="1"/>
  <c r="P90" i="3" s="1"/>
  <c r="C94" i="3" a="1"/>
  <c r="C94" i="3" s="1"/>
  <c r="N94" i="3" s="1"/>
  <c r="C101" i="3" a="1"/>
  <c r="C101" i="3" s="1"/>
  <c r="N101" i="3" s="1"/>
  <c r="F108" i="3" a="1"/>
  <c r="F108" i="3" s="1"/>
  <c r="Q108" i="3" s="1"/>
  <c r="E111" i="3" a="1"/>
  <c r="E111" i="3" s="1"/>
  <c r="P111" i="3" s="1"/>
  <c r="D114" i="3" a="1"/>
  <c r="D114" i="3" s="1"/>
  <c r="O114" i="3" s="1"/>
  <c r="E116" i="3" a="1"/>
  <c r="E116" i="3" s="1"/>
  <c r="P116" i="3" s="1"/>
  <c r="F118" i="3" a="1"/>
  <c r="F118" i="3" s="1"/>
  <c r="Q118" i="3" s="1"/>
  <c r="D123" i="3" a="1"/>
  <c r="D123" i="3" s="1"/>
  <c r="O123" i="3" s="1"/>
  <c r="D125" i="3" a="1"/>
  <c r="D125" i="3" s="1"/>
  <c r="O125" i="3" s="1"/>
  <c r="E127" i="3" a="1"/>
  <c r="E127" i="3" s="1"/>
  <c r="P127" i="3" s="1"/>
  <c r="D129" i="3" a="1"/>
  <c r="D129" i="3" s="1"/>
  <c r="O129" i="3" s="1"/>
  <c r="E131" i="3" a="1"/>
  <c r="E131" i="3" s="1"/>
  <c r="P131" i="3" s="1"/>
  <c r="F133" i="3" a="1"/>
  <c r="F133" i="3" s="1"/>
  <c r="Q133" i="3" s="1"/>
  <c r="C136" i="3" a="1"/>
  <c r="C136" i="3" s="1"/>
  <c r="N136" i="3" s="1"/>
  <c r="D138" i="3" a="1"/>
  <c r="D138" i="3" s="1"/>
  <c r="O138" i="3" s="1"/>
  <c r="E142" i="3" a="1"/>
  <c r="E142" i="3" s="1"/>
  <c r="P142" i="3" s="1"/>
  <c r="F144" i="3" a="1"/>
  <c r="F144" i="3" s="1"/>
  <c r="Q144" i="3" s="1"/>
  <c r="F146" i="3" a="1"/>
  <c r="F146" i="3" s="1"/>
  <c r="Q146" i="3" s="1"/>
  <c r="F148" i="3" a="1"/>
  <c r="F148" i="3" s="1"/>
  <c r="Q148" i="3" s="1"/>
  <c r="F150" i="3" a="1"/>
  <c r="F150" i="3" s="1"/>
  <c r="Q150" i="3" s="1"/>
  <c r="D153" i="3" a="1"/>
  <c r="D153" i="3" s="1"/>
  <c r="O153" i="3" s="1"/>
  <c r="D155" i="3" a="1"/>
  <c r="D155" i="3" s="1"/>
  <c r="O155" i="3" s="1"/>
  <c r="D157" i="3" a="1"/>
  <c r="D157" i="3" s="1"/>
  <c r="O157" i="3" s="1"/>
  <c r="E159" i="3" a="1"/>
  <c r="E159" i="3" s="1"/>
  <c r="P159" i="3" s="1"/>
  <c r="E163" i="3" a="1"/>
  <c r="E163" i="3" s="1"/>
  <c r="P163" i="3" s="1"/>
  <c r="D165" i="3" a="1"/>
  <c r="D165" i="3" s="1"/>
  <c r="O165" i="3" s="1"/>
  <c r="D167" i="3" a="1"/>
  <c r="D167" i="3" s="1"/>
  <c r="O167" i="3" s="1"/>
  <c r="E63" i="3" a="1"/>
  <c r="E63" i="3" s="1"/>
  <c r="P63" i="3" s="1"/>
  <c r="E71" i="3" a="1"/>
  <c r="E71" i="3" s="1"/>
  <c r="P71" i="3" s="1"/>
  <c r="C77" i="3" a="1"/>
  <c r="C77" i="3" s="1"/>
  <c r="N77" i="3" s="1"/>
  <c r="F82" i="3" a="1"/>
  <c r="F82" i="3" s="1"/>
  <c r="Q82" i="3" s="1"/>
  <c r="D87" i="3" a="1"/>
  <c r="D87" i="3" s="1"/>
  <c r="O87" i="3" s="1"/>
  <c r="F90" i="3" a="1"/>
  <c r="F90" i="3" s="1"/>
  <c r="Q90" i="3" s="1"/>
  <c r="E94" i="3" a="1"/>
  <c r="E94" i="3" s="1"/>
  <c r="P94" i="3" s="1"/>
  <c r="C98" i="3" a="1"/>
  <c r="C98" i="3" s="1"/>
  <c r="N98" i="3" s="1"/>
  <c r="E101" i="3" a="1"/>
  <c r="E101" i="3" s="1"/>
  <c r="P101" i="3" s="1"/>
  <c r="D105" i="3" a="1"/>
  <c r="D105" i="3" s="1"/>
  <c r="O105" i="3" s="1"/>
  <c r="C109" i="3" a="1"/>
  <c r="C109" i="3" s="1"/>
  <c r="N109" i="3" s="1"/>
  <c r="C112" i="3" a="1"/>
  <c r="C112" i="3" s="1"/>
  <c r="N112" i="3" s="1"/>
  <c r="E114" i="3" a="1"/>
  <c r="E114" i="3" s="1"/>
  <c r="P114" i="3" s="1"/>
  <c r="F116" i="3" a="1"/>
  <c r="F116" i="3" s="1"/>
  <c r="Q116" i="3" s="1"/>
  <c r="C119" i="3" a="1"/>
  <c r="C119" i="3" s="1"/>
  <c r="N119" i="3" s="1"/>
  <c r="D121" i="3" a="1"/>
  <c r="D121" i="3" s="1"/>
  <c r="O121" i="3" s="1"/>
  <c r="E123" i="3" a="1"/>
  <c r="E123" i="3" s="1"/>
  <c r="P123" i="3" s="1"/>
  <c r="E125" i="3" a="1"/>
  <c r="E125" i="3" s="1"/>
  <c r="P125" i="3" s="1"/>
  <c r="E129" i="3" a="1"/>
  <c r="E129" i="3" s="1"/>
  <c r="P129" i="3" s="1"/>
  <c r="F131" i="3" a="1"/>
  <c r="F131" i="3" s="1"/>
  <c r="Q131" i="3" s="1"/>
  <c r="C134" i="3" a="1"/>
  <c r="C134" i="3" s="1"/>
  <c r="N134" i="3" s="1"/>
  <c r="E136" i="3" a="1"/>
  <c r="E136" i="3" s="1"/>
  <c r="P136" i="3" s="1"/>
  <c r="E138" i="3" a="1"/>
  <c r="E138" i="3" s="1"/>
  <c r="P138" i="3" s="1"/>
  <c r="E140" i="3" a="1"/>
  <c r="E140" i="3" s="1"/>
  <c r="P140" i="3" s="1"/>
  <c r="F142" i="3" a="1"/>
  <c r="F142" i="3" s="1"/>
  <c r="Q142" i="3" s="1"/>
  <c r="C145" i="3" a="1"/>
  <c r="C145" i="3" s="1"/>
  <c r="N145" i="3" s="1"/>
  <c r="C147" i="3" a="1"/>
  <c r="C147" i="3" s="1"/>
  <c r="N147" i="3" s="1"/>
  <c r="C149" i="3" a="1"/>
  <c r="C149" i="3" s="1"/>
  <c r="N149" i="3" s="1"/>
  <c r="D151" i="3" a="1"/>
  <c r="D151" i="3" s="1"/>
  <c r="O151" i="3" s="1"/>
  <c r="E155" i="3" a="1"/>
  <c r="E155" i="3" s="1"/>
  <c r="P155" i="3" s="1"/>
  <c r="E157" i="3" a="1"/>
  <c r="E157" i="3" s="1"/>
  <c r="P157" i="3" s="1"/>
  <c r="F159" i="3" a="1"/>
  <c r="F159" i="3" s="1"/>
  <c r="Q159" i="3" s="1"/>
  <c r="E161" i="3" a="1"/>
  <c r="E161" i="3" s="1"/>
  <c r="P161" i="3" s="1"/>
  <c r="F165" i="3" a="1"/>
  <c r="F165" i="3" s="1"/>
  <c r="Q165" i="3" s="1"/>
  <c r="E167" i="3" a="1"/>
  <c r="E167" i="3" s="1"/>
  <c r="P167" i="3" s="1"/>
  <c r="E169" i="3" a="1"/>
  <c r="E169" i="3" s="1"/>
  <c r="P169" i="3" s="1"/>
  <c r="E171" i="3" a="1"/>
  <c r="E171" i="3" s="1"/>
  <c r="P171" i="3" s="1"/>
  <c r="E173" i="3" a="1"/>
  <c r="E173" i="3" s="1"/>
  <c r="P173" i="3" s="1"/>
  <c r="E175" i="3" a="1"/>
  <c r="E175" i="3" s="1"/>
  <c r="P175" i="3" s="1"/>
  <c r="D177" i="3" a="1"/>
  <c r="D177" i="3" s="1"/>
  <c r="O177" i="3" s="1"/>
  <c r="C179" i="3" a="1"/>
  <c r="C179" i="3" s="1"/>
  <c r="N179" i="3" s="1"/>
  <c r="C181" i="3" a="1"/>
  <c r="C181" i="3" s="1"/>
  <c r="N181" i="3" s="1"/>
  <c r="C183" i="3" a="1"/>
  <c r="C183" i="3" s="1"/>
  <c r="N183" i="3" s="1"/>
  <c r="C185" i="3" a="1"/>
  <c r="C185" i="3" s="1"/>
  <c r="N185" i="3" s="1"/>
  <c r="C187" i="3" a="1"/>
  <c r="C187" i="3" s="1"/>
  <c r="N187" i="3" s="1"/>
  <c r="E188" i="3" a="1"/>
  <c r="E188" i="3" s="1"/>
  <c r="P188" i="3" s="1"/>
  <c r="D190" i="3" a="1"/>
  <c r="D190" i="3" s="1"/>
  <c r="O190" i="3" s="1"/>
  <c r="C192" i="3" a="1"/>
  <c r="C192" i="3" s="1"/>
  <c r="N192" i="3" s="1"/>
  <c r="F193" i="3" a="1"/>
  <c r="F193" i="3" s="1"/>
  <c r="Q193" i="3" s="1"/>
  <c r="E195" i="3" a="1"/>
  <c r="E195" i="3" s="1"/>
  <c r="P195" i="3" s="1"/>
  <c r="D197" i="3" a="1"/>
  <c r="D197" i="3" s="1"/>
  <c r="O197" i="3" s="1"/>
  <c r="E202" i="3" a="1"/>
  <c r="E202" i="3" s="1"/>
  <c r="P202" i="3" s="1"/>
  <c r="E204" i="3" a="1"/>
  <c r="E204" i="3" s="1"/>
  <c r="P204" i="3" s="1"/>
  <c r="E206" i="3" a="1"/>
  <c r="E206" i="3" s="1"/>
  <c r="P206" i="3" s="1"/>
  <c r="E208" i="3" a="1"/>
  <c r="E208" i="3" s="1"/>
  <c r="P208" i="3" s="1"/>
  <c r="D210" i="3" a="1"/>
  <c r="D210" i="3" s="1"/>
  <c r="O210" i="3" s="1"/>
  <c r="F211" i="3" a="1"/>
  <c r="F211" i="3" s="1"/>
  <c r="Q211" i="3" s="1"/>
  <c r="F213" i="3" a="1"/>
  <c r="F213" i="3" s="1"/>
  <c r="Q213" i="3" s="1"/>
  <c r="E215" i="3" a="1"/>
  <c r="E215" i="3" s="1"/>
  <c r="P215" i="3" s="1"/>
  <c r="D217" i="3" a="1"/>
  <c r="D217" i="3" s="1"/>
  <c r="O217" i="3" s="1"/>
  <c r="D219" i="3" a="1"/>
  <c r="D219" i="3" s="1"/>
  <c r="O219" i="3" s="1"/>
  <c r="C221" i="3" a="1"/>
  <c r="C221" i="3" s="1"/>
  <c r="N221" i="3" s="1"/>
  <c r="E222" i="3" a="1"/>
  <c r="E222" i="3" s="1"/>
  <c r="P222" i="3" s="1"/>
  <c r="E224" i="3" a="1"/>
  <c r="E224" i="3" s="1"/>
  <c r="P224" i="3" s="1"/>
  <c r="D226" i="3" a="1"/>
  <c r="D226" i="3" s="1"/>
  <c r="O226" i="3" s="1"/>
  <c r="F227" i="3" a="1"/>
  <c r="F227" i="3" s="1"/>
  <c r="Q227" i="3" s="1"/>
  <c r="E229" i="3" a="1"/>
  <c r="E229" i="3" s="1"/>
  <c r="P229" i="3" s="1"/>
  <c r="D234" i="3" a="1"/>
  <c r="D234" i="3" s="1"/>
  <c r="O234" i="3" s="1"/>
  <c r="C236" i="3" a="1"/>
  <c r="C236" i="3" s="1"/>
  <c r="N236" i="3" s="1"/>
  <c r="F237" i="3" a="1"/>
  <c r="F237" i="3" s="1"/>
  <c r="Q237" i="3" s="1"/>
  <c r="E239" i="3" a="1"/>
  <c r="E239" i="3" s="1"/>
  <c r="P239" i="3" s="1"/>
  <c r="D241" i="3" a="1"/>
  <c r="D241" i="3" s="1"/>
  <c r="O241" i="3" s="1"/>
  <c r="C243" i="3" a="1"/>
  <c r="C243" i="3" s="1"/>
  <c r="N243" i="3" s="1"/>
  <c r="F244" i="3" a="1"/>
  <c r="F244" i="3" s="1"/>
  <c r="Q244" i="3" s="1"/>
  <c r="E246" i="3" a="1"/>
  <c r="E246" i="3" s="1"/>
  <c r="P246" i="3" s="1"/>
  <c r="C248" i="3" a="1"/>
  <c r="C248" i="3" s="1"/>
  <c r="N248" i="3" s="1"/>
  <c r="E249" i="3" a="1"/>
  <c r="E249" i="3" s="1"/>
  <c r="P249" i="3" s="1"/>
  <c r="D251" i="3" a="1"/>
  <c r="D251" i="3" s="1"/>
  <c r="O251" i="3" s="1"/>
  <c r="F64" i="3" a="1"/>
  <c r="F64" i="3" s="1"/>
  <c r="Q64" i="3" s="1"/>
  <c r="F72" i="3" a="1"/>
  <c r="F72" i="3" s="1"/>
  <c r="Q72" i="3" s="1"/>
  <c r="E77" i="3" a="1"/>
  <c r="E77" i="3" s="1"/>
  <c r="P77" i="3" s="1"/>
  <c r="C83" i="3" a="1"/>
  <c r="C83" i="3" s="1"/>
  <c r="N83" i="3" s="1"/>
  <c r="D88" i="3" a="1"/>
  <c r="D88" i="3" s="1"/>
  <c r="O88" i="3" s="1"/>
  <c r="F91" i="3" a="1"/>
  <c r="F91" i="3" s="1"/>
  <c r="Q91" i="3" s="1"/>
  <c r="D95" i="3" a="1"/>
  <c r="D95" i="3" s="1"/>
  <c r="O95" i="3" s="1"/>
  <c r="F98" i="3" a="1"/>
  <c r="F98" i="3" s="1"/>
  <c r="Q98" i="3" s="1"/>
  <c r="E102" i="3" a="1"/>
  <c r="E102" i="3" s="1"/>
  <c r="P102" i="3" s="1"/>
  <c r="D106" i="3" a="1"/>
  <c r="D106" i="3" s="1"/>
  <c r="O106" i="3" s="1"/>
  <c r="D109" i="3" a="1"/>
  <c r="D109" i="3" s="1"/>
  <c r="O109" i="3" s="1"/>
  <c r="D112" i="3" a="1"/>
  <c r="D112" i="3" s="1"/>
  <c r="O112" i="3" s="1"/>
  <c r="F114" i="3" a="1"/>
  <c r="F114" i="3" s="1"/>
  <c r="Q114" i="3" s="1"/>
  <c r="E65" i="3" a="1"/>
  <c r="E65" i="3" s="1"/>
  <c r="P65" i="3" s="1"/>
  <c r="C73" i="3" a="1"/>
  <c r="C73" i="3" s="1"/>
  <c r="N73" i="3" s="1"/>
  <c r="F78" i="3" a="1"/>
  <c r="F78" i="3" s="1"/>
  <c r="Q78" i="3" s="1"/>
  <c r="E83" i="3" a="1"/>
  <c r="E83" i="3" s="1"/>
  <c r="P83" i="3" s="1"/>
  <c r="E88" i="3" a="1"/>
  <c r="E88" i="3" s="1"/>
  <c r="P88" i="3" s="1"/>
  <c r="C92" i="3" a="1"/>
  <c r="C92" i="3" s="1"/>
  <c r="N92" i="3" s="1"/>
  <c r="E95" i="3" a="1"/>
  <c r="E95" i="3" s="1"/>
  <c r="P95" i="3" s="1"/>
  <c r="C99" i="3" a="1"/>
  <c r="C99" i="3" s="1"/>
  <c r="N99" i="3" s="1"/>
  <c r="F102" i="3" a="1"/>
  <c r="F102" i="3" s="1"/>
  <c r="Q102" i="3" s="1"/>
  <c r="E106" i="3" a="1"/>
  <c r="E106" i="3" s="1"/>
  <c r="P106" i="3" s="1"/>
  <c r="D110" i="3" a="1"/>
  <c r="D110" i="3" s="1"/>
  <c r="O110" i="3" s="1"/>
  <c r="E112" i="3" a="1"/>
  <c r="E112" i="3" s="1"/>
  <c r="P112" i="3" s="1"/>
  <c r="C115" i="3" a="1"/>
  <c r="C115" i="3" s="1"/>
  <c r="N115" i="3" s="1"/>
  <c r="E117" i="3" a="1"/>
  <c r="E117" i="3" s="1"/>
  <c r="P117" i="3" s="1"/>
  <c r="F119" i="3" a="1"/>
  <c r="F119" i="3" s="1"/>
  <c r="Q119" i="3" s="1"/>
  <c r="F121" i="3" a="1"/>
  <c r="F121" i="3" s="1"/>
  <c r="Q121" i="3" s="1"/>
  <c r="C124" i="3" a="1"/>
  <c r="C124" i="3" s="1"/>
  <c r="N124" i="3" s="1"/>
  <c r="C126" i="3" a="1"/>
  <c r="C126" i="3" s="1"/>
  <c r="N126" i="3" s="1"/>
  <c r="C128" i="3" a="1"/>
  <c r="C128" i="3" s="1"/>
  <c r="N128" i="3" s="1"/>
  <c r="C130" i="3" a="1"/>
  <c r="C130" i="3" s="1"/>
  <c r="N130" i="3" s="1"/>
  <c r="E132" i="3" a="1"/>
  <c r="E132" i="3" s="1"/>
  <c r="P132" i="3" s="1"/>
  <c r="F134" i="3" a="1"/>
  <c r="F134" i="3" s="1"/>
  <c r="Q134" i="3" s="1"/>
  <c r="C139" i="3" a="1"/>
  <c r="C139" i="3" s="1"/>
  <c r="N139" i="3" s="1"/>
  <c r="C141" i="3" a="1"/>
  <c r="C141" i="3" s="1"/>
  <c r="N141" i="3" s="1"/>
  <c r="D143" i="3" a="1"/>
  <c r="D143" i="3" s="1"/>
  <c r="O143" i="3" s="1"/>
  <c r="F147" i="3" a="1"/>
  <c r="F147" i="3" s="1"/>
  <c r="Q147" i="3" s="1"/>
  <c r="F149" i="3" a="1"/>
  <c r="F149" i="3" s="1"/>
  <c r="Q149" i="3" s="1"/>
  <c r="F151" i="3" a="1"/>
  <c r="F151" i="3" s="1"/>
  <c r="Q151" i="3" s="1"/>
  <c r="F153" i="3" a="1"/>
  <c r="F153" i="3" s="1"/>
  <c r="Q153" i="3" s="1"/>
  <c r="C132" i="3" a="1"/>
  <c r="C132" i="3" s="1"/>
  <c r="N132" i="3" s="1"/>
  <c r="C143" i="3" a="1"/>
  <c r="C143" i="3" s="1"/>
  <c r="N143" i="3" s="1"/>
  <c r="E151" i="3" a="1"/>
  <c r="E151" i="3" s="1"/>
  <c r="P151" i="3" s="1"/>
  <c r="C157" i="3" a="1"/>
  <c r="C157" i="3" s="1"/>
  <c r="N157" i="3" s="1"/>
  <c r="D161" i="3" a="1"/>
  <c r="D161" i="3" s="1"/>
  <c r="O161" i="3" s="1"/>
  <c r="C165" i="3" a="1"/>
  <c r="C165" i="3" s="1"/>
  <c r="N165" i="3" s="1"/>
  <c r="C169" i="3" a="1"/>
  <c r="C169" i="3" s="1"/>
  <c r="N169" i="3" s="1"/>
  <c r="C172" i="3" a="1"/>
  <c r="C172" i="3" s="1"/>
  <c r="N172" i="3" s="1"/>
  <c r="D175" i="3" a="1"/>
  <c r="D175" i="3" s="1"/>
  <c r="O175" i="3" s="1"/>
  <c r="C178" i="3" a="1"/>
  <c r="C178" i="3" s="1"/>
  <c r="N178" i="3" s="1"/>
  <c r="D181" i="3" a="1"/>
  <c r="D181" i="3" s="1"/>
  <c r="O181" i="3" s="1"/>
  <c r="E184" i="3" a="1"/>
  <c r="E184" i="3" s="1"/>
  <c r="P184" i="3" s="1"/>
  <c r="D187" i="3" a="1"/>
  <c r="D187" i="3" s="1"/>
  <c r="O187" i="3" s="1"/>
  <c r="F189" i="3" a="1"/>
  <c r="F189" i="3" s="1"/>
  <c r="Q189" i="3" s="1"/>
  <c r="D192" i="3" a="1"/>
  <c r="D192" i="3" s="1"/>
  <c r="O192" i="3" s="1"/>
  <c r="E194" i="3" a="1"/>
  <c r="E194" i="3" s="1"/>
  <c r="P194" i="3" s="1"/>
  <c r="F196" i="3" a="1"/>
  <c r="F196" i="3" s="1"/>
  <c r="Q196" i="3" s="1"/>
  <c r="D199" i="3" a="1"/>
  <c r="D199" i="3" s="1"/>
  <c r="O199" i="3" s="1"/>
  <c r="D201" i="3" a="1"/>
  <c r="D201" i="3" s="1"/>
  <c r="O201" i="3" s="1"/>
  <c r="C204" i="3" a="1"/>
  <c r="C204" i="3" s="1"/>
  <c r="N204" i="3" s="1"/>
  <c r="F206" i="3" a="1"/>
  <c r="F206" i="3" s="1"/>
  <c r="Q206" i="3" s="1"/>
  <c r="D209" i="3" a="1"/>
  <c r="D209" i="3" s="1"/>
  <c r="O209" i="3" s="1"/>
  <c r="E211" i="3" a="1"/>
  <c r="E211" i="3" s="1"/>
  <c r="P211" i="3" s="1"/>
  <c r="C214" i="3" a="1"/>
  <c r="C214" i="3" s="1"/>
  <c r="N214" i="3" s="1"/>
  <c r="D216" i="3" a="1"/>
  <c r="D216" i="3" s="1"/>
  <c r="O216" i="3" s="1"/>
  <c r="F218" i="3" a="1"/>
  <c r="F218" i="3" s="1"/>
  <c r="Q218" i="3" s="1"/>
  <c r="D221" i="3" a="1"/>
  <c r="D221" i="3" s="1"/>
  <c r="O221" i="3" s="1"/>
  <c r="D223" i="3" a="1"/>
  <c r="D223" i="3" s="1"/>
  <c r="O223" i="3" s="1"/>
  <c r="F225" i="3" a="1"/>
  <c r="F225" i="3" s="1"/>
  <c r="Q225" i="3" s="1"/>
  <c r="C228" i="3" a="1"/>
  <c r="C228" i="3" s="1"/>
  <c r="N228" i="3" s="1"/>
  <c r="D230" i="3" a="1"/>
  <c r="D230" i="3" s="1"/>
  <c r="O230" i="3" s="1"/>
  <c r="D232" i="3" a="1"/>
  <c r="D232" i="3" s="1"/>
  <c r="O232" i="3" s="1"/>
  <c r="E234" i="3" a="1"/>
  <c r="E234" i="3" s="1"/>
  <c r="P234" i="3" s="1"/>
  <c r="F236" i="3" a="1"/>
  <c r="F236" i="3" s="1"/>
  <c r="Q236" i="3" s="1"/>
  <c r="E243" i="3" a="1"/>
  <c r="E243" i="3" s="1"/>
  <c r="P243" i="3" s="1"/>
  <c r="C246" i="3" a="1"/>
  <c r="C246" i="3" s="1"/>
  <c r="N246" i="3" s="1"/>
  <c r="E251" i="3" a="1"/>
  <c r="E251" i="3" s="1"/>
  <c r="P251" i="3" s="1"/>
  <c r="C117" i="3" a="1"/>
  <c r="C117" i="3" s="1"/>
  <c r="N117" i="3" s="1"/>
  <c r="E134" i="3" a="1"/>
  <c r="E134" i="3" s="1"/>
  <c r="P134" i="3" s="1"/>
  <c r="E144" i="3" a="1"/>
  <c r="E144" i="3" s="1"/>
  <c r="P144" i="3" s="1"/>
  <c r="F152" i="3" a="1"/>
  <c r="F152" i="3" s="1"/>
  <c r="Q152" i="3" s="1"/>
  <c r="F157" i="3" a="1"/>
  <c r="F157" i="3" s="1"/>
  <c r="Q157" i="3" s="1"/>
  <c r="F161" i="3" a="1"/>
  <c r="F161" i="3" s="1"/>
  <c r="Q161" i="3" s="1"/>
  <c r="C166" i="3" a="1"/>
  <c r="C166" i="3" s="1"/>
  <c r="N166" i="3" s="1"/>
  <c r="D169" i="3" a="1"/>
  <c r="D169" i="3" s="1"/>
  <c r="O169" i="3" s="1"/>
  <c r="D172" i="3" a="1"/>
  <c r="D172" i="3" s="1"/>
  <c r="O172" i="3" s="1"/>
  <c r="E178" i="3" a="1"/>
  <c r="E178" i="3" s="1"/>
  <c r="P178" i="3" s="1"/>
  <c r="E181" i="3" a="1"/>
  <c r="E181" i="3" s="1"/>
  <c r="P181" i="3" s="1"/>
  <c r="F184" i="3" a="1"/>
  <c r="F184" i="3" s="1"/>
  <c r="Q184" i="3" s="1"/>
  <c r="E187" i="3" a="1"/>
  <c r="E187" i="3" s="1"/>
  <c r="P187" i="3" s="1"/>
  <c r="C190" i="3" a="1"/>
  <c r="C190" i="3" s="1"/>
  <c r="N190" i="3" s="1"/>
  <c r="E192" i="3" a="1"/>
  <c r="E192" i="3" s="1"/>
  <c r="P192" i="3" s="1"/>
  <c r="F194" i="3" a="1"/>
  <c r="F194" i="3" s="1"/>
  <c r="Q194" i="3" s="1"/>
  <c r="C197" i="3" a="1"/>
  <c r="C197" i="3" s="1"/>
  <c r="N197" i="3" s="1"/>
  <c r="E199" i="3" a="1"/>
  <c r="E199" i="3" s="1"/>
  <c r="P199" i="3" s="1"/>
  <c r="E201" i="3" a="1"/>
  <c r="E201" i="3" s="1"/>
  <c r="P201" i="3" s="1"/>
  <c r="D204" i="3" a="1"/>
  <c r="D204" i="3" s="1"/>
  <c r="O204" i="3" s="1"/>
  <c r="C207" i="3" a="1"/>
  <c r="C207" i="3" s="1"/>
  <c r="N207" i="3" s="1"/>
  <c r="D214" i="3" a="1"/>
  <c r="D214" i="3" s="1"/>
  <c r="O214" i="3" s="1"/>
  <c r="E216" i="3" a="1"/>
  <c r="E216" i="3" s="1"/>
  <c r="P216" i="3" s="1"/>
  <c r="C219" i="3" a="1"/>
  <c r="C219" i="3" s="1"/>
  <c r="N219" i="3" s="1"/>
  <c r="E223" i="3" a="1"/>
  <c r="E223" i="3" s="1"/>
  <c r="P223" i="3" s="1"/>
  <c r="C226" i="3" a="1"/>
  <c r="C226" i="3" s="1"/>
  <c r="N226" i="3" s="1"/>
  <c r="E232" i="3" a="1"/>
  <c r="E232" i="3" s="1"/>
  <c r="P232" i="3" s="1"/>
  <c r="F234" i="3" a="1"/>
  <c r="F234" i="3" s="1"/>
  <c r="Q234" i="3" s="1"/>
  <c r="C237" i="3" a="1"/>
  <c r="C237" i="3" s="1"/>
  <c r="N237" i="3" s="1"/>
  <c r="E119" i="3" a="1"/>
  <c r="E119" i="3" s="1"/>
  <c r="P119" i="3" s="1"/>
  <c r="F136" i="3" a="1"/>
  <c r="F136" i="3" s="1"/>
  <c r="Q136" i="3" s="1"/>
  <c r="D145" i="3" a="1"/>
  <c r="D145" i="3" s="1"/>
  <c r="O145" i="3" s="1"/>
  <c r="E153" i="3" a="1"/>
  <c r="E153" i="3" s="1"/>
  <c r="P153" i="3" s="1"/>
  <c r="C158" i="3" a="1"/>
  <c r="C158" i="3" s="1"/>
  <c r="N158" i="3" s="1"/>
  <c r="D162" i="3" a="1"/>
  <c r="D162" i="3" s="1"/>
  <c r="O162" i="3" s="1"/>
  <c r="D166" i="3" a="1"/>
  <c r="D166" i="3" s="1"/>
  <c r="O166" i="3" s="1"/>
  <c r="F169" i="3" a="1"/>
  <c r="F169" i="3" s="1"/>
  <c r="Q169" i="3" s="1"/>
  <c r="C173" i="3" a="1"/>
  <c r="C173" i="3" s="1"/>
  <c r="N173" i="3" s="1"/>
  <c r="F175" i="3" a="1"/>
  <c r="F175" i="3" s="1"/>
  <c r="Q175" i="3" s="1"/>
  <c r="F178" i="3" a="1"/>
  <c r="F178" i="3" s="1"/>
  <c r="Q178" i="3" s="1"/>
  <c r="F181" i="3" a="1"/>
  <c r="F181" i="3" s="1"/>
  <c r="Q181" i="3" s="1"/>
  <c r="D185" i="3" a="1"/>
  <c r="D185" i="3" s="1"/>
  <c r="O185" i="3" s="1"/>
  <c r="F192" i="3" a="1"/>
  <c r="F192" i="3" s="1"/>
  <c r="Q192" i="3" s="1"/>
  <c r="E197" i="3" a="1"/>
  <c r="E197" i="3" s="1"/>
  <c r="P197" i="3" s="1"/>
  <c r="C202" i="3" a="1"/>
  <c r="C202" i="3" s="1"/>
  <c r="N202" i="3" s="1"/>
  <c r="F204" i="3" a="1"/>
  <c r="F204" i="3" s="1"/>
  <c r="Q204" i="3" s="1"/>
  <c r="D207" i="3" a="1"/>
  <c r="D207" i="3" s="1"/>
  <c r="O207" i="3" s="1"/>
  <c r="F209" i="3" a="1"/>
  <c r="F209" i="3" s="1"/>
  <c r="Q209" i="3" s="1"/>
  <c r="C212" i="3" a="1"/>
  <c r="C212" i="3" s="1"/>
  <c r="N212" i="3" s="1"/>
  <c r="E214" i="3" a="1"/>
  <c r="E214" i="3" s="1"/>
  <c r="P214" i="3" s="1"/>
  <c r="F216" i="3" a="1"/>
  <c r="F216" i="3" s="1"/>
  <c r="Q216" i="3" s="1"/>
  <c r="E219" i="3" a="1"/>
  <c r="E219" i="3" s="1"/>
  <c r="P219" i="3" s="1"/>
  <c r="E221" i="3" a="1"/>
  <c r="E221" i="3" s="1"/>
  <c r="P221" i="3" s="1"/>
  <c r="C224" i="3" a="1"/>
  <c r="C224" i="3" s="1"/>
  <c r="N224" i="3" s="1"/>
  <c r="E226" i="3" a="1"/>
  <c r="E226" i="3" s="1"/>
  <c r="P226" i="3" s="1"/>
  <c r="D228" i="3" a="1"/>
  <c r="D228" i="3" s="1"/>
  <c r="O228" i="3" s="1"/>
  <c r="F230" i="3" a="1"/>
  <c r="F230" i="3" s="1"/>
  <c r="Q230" i="3" s="1"/>
  <c r="F232" i="3" a="1"/>
  <c r="F232" i="3" s="1"/>
  <c r="Q232" i="3" s="1"/>
  <c r="C235" i="3" a="1"/>
  <c r="C235" i="3" s="1"/>
  <c r="N235" i="3" s="1"/>
  <c r="F241" i="3" a="1"/>
  <c r="F241" i="3" s="1"/>
  <c r="Q241" i="3" s="1"/>
  <c r="D244" i="3" a="1"/>
  <c r="D244" i="3" s="1"/>
  <c r="O244" i="3" s="1"/>
  <c r="D248" i="3" a="1"/>
  <c r="D248" i="3" s="1"/>
  <c r="O248" i="3" s="1"/>
  <c r="C250" i="3" a="1"/>
  <c r="C250" i="3" s="1"/>
  <c r="N250" i="3" s="1"/>
  <c r="C252" i="3" a="1"/>
  <c r="C252" i="3" s="1"/>
  <c r="N252" i="3" s="1"/>
  <c r="F253" i="3" a="1"/>
  <c r="F253" i="3" s="1"/>
  <c r="Q253" i="3" s="1"/>
  <c r="E255" i="3" a="1"/>
  <c r="E255" i="3" s="1"/>
  <c r="P255" i="3" s="1"/>
  <c r="C257" i="3" a="1"/>
  <c r="C257" i="3" s="1"/>
  <c r="N257" i="3" s="1"/>
  <c r="C259" i="3" a="1"/>
  <c r="C259" i="3" s="1"/>
  <c r="N259" i="3" s="1"/>
  <c r="E260" i="3" a="1"/>
  <c r="E260" i="3" s="1"/>
  <c r="P260" i="3" s="1"/>
  <c r="D262" i="3" a="1"/>
  <c r="D262" i="3" s="1"/>
  <c r="O262" i="3" s="1"/>
  <c r="C264" i="3" a="1"/>
  <c r="C264" i="3" s="1"/>
  <c r="N264" i="3" s="1"/>
  <c r="F265" i="3" a="1"/>
  <c r="F265" i="3" s="1"/>
  <c r="Q265" i="3" s="1"/>
  <c r="E267" i="3" a="1"/>
  <c r="E267" i="3" s="1"/>
  <c r="P267" i="3" s="1"/>
  <c r="C269" i="3" a="1"/>
  <c r="C269" i="3" s="1"/>
  <c r="N269" i="3" s="1"/>
  <c r="F270" i="3" a="1"/>
  <c r="F270" i="3" s="1"/>
  <c r="Q270" i="3" s="1"/>
  <c r="D272" i="3" a="1"/>
  <c r="D272" i="3" s="1"/>
  <c r="O272" i="3" s="1"/>
  <c r="C274" i="3" a="1"/>
  <c r="C274" i="3" s="1"/>
  <c r="N274" i="3" s="1"/>
  <c r="F275" i="3" a="1"/>
  <c r="F275" i="3" s="1"/>
  <c r="Q275" i="3" s="1"/>
  <c r="E277" i="3" a="1"/>
  <c r="E277" i="3" s="1"/>
  <c r="P277" i="3" s="1"/>
  <c r="D279" i="3" a="1"/>
  <c r="D279" i="3" s="1"/>
  <c r="O279" i="3" s="1"/>
  <c r="C281" i="3" a="1"/>
  <c r="C281" i="3" s="1"/>
  <c r="N281" i="3" s="1"/>
  <c r="C283" i="3" a="1"/>
  <c r="C283" i="3" s="1"/>
  <c r="N283" i="3" s="1"/>
  <c r="E284" i="3" a="1"/>
  <c r="E284" i="3" s="1"/>
  <c r="P284" i="3" s="1"/>
  <c r="C288" i="3" a="1"/>
  <c r="C288" i="3" s="1"/>
  <c r="N288" i="3" s="1"/>
  <c r="F289" i="3" a="1"/>
  <c r="F289" i="3" s="1"/>
  <c r="Q289" i="3" s="1"/>
  <c r="C293" i="3" a="1"/>
  <c r="C293" i="3" s="1"/>
  <c r="N293" i="3" s="1"/>
  <c r="F294" i="3" a="1"/>
  <c r="F294" i="3" s="1"/>
  <c r="Q294" i="3" s="1"/>
  <c r="E296" i="3" a="1"/>
  <c r="E296" i="3" s="1"/>
  <c r="P296" i="3" s="1"/>
  <c r="C298" i="3" a="1"/>
  <c r="C298" i="3" s="1"/>
  <c r="N298" i="3" s="1"/>
  <c r="E299" i="3" a="1"/>
  <c r="E299" i="3" s="1"/>
  <c r="P299" i="3" s="1"/>
  <c r="C303" i="3" a="1"/>
  <c r="C303" i="3" s="1"/>
  <c r="N303" i="3" s="1"/>
  <c r="E304" i="3" a="1"/>
  <c r="E304" i="3" s="1"/>
  <c r="P304" i="3" s="1"/>
  <c r="D306" i="3" a="1"/>
  <c r="D306" i="3" s="1"/>
  <c r="O306" i="3" s="1"/>
  <c r="C308" i="3" a="1"/>
  <c r="C308" i="3" s="1"/>
  <c r="N308" i="3" s="1"/>
  <c r="E309" i="3" a="1"/>
  <c r="E309" i="3" s="1"/>
  <c r="P309" i="3" s="1"/>
  <c r="D311" i="3" a="1"/>
  <c r="D311" i="3" s="1"/>
  <c r="O311" i="3" s="1"/>
  <c r="F312" i="3" a="1"/>
  <c r="F312" i="3" s="1"/>
  <c r="Q312" i="3" s="1"/>
  <c r="D316" i="3" a="1"/>
  <c r="D316" i="3" s="1"/>
  <c r="O316" i="3" s="1"/>
  <c r="F319" i="3" a="1"/>
  <c r="F319" i="3" s="1"/>
  <c r="Q319" i="3" s="1"/>
  <c r="E321" i="3" a="1"/>
  <c r="E321" i="3" s="1"/>
  <c r="P321" i="3" s="1"/>
  <c r="D323" i="3" a="1"/>
  <c r="D323" i="3" s="1"/>
  <c r="O323" i="3" s="1"/>
  <c r="C325" i="3" a="1"/>
  <c r="C325" i="3" s="1"/>
  <c r="N325" i="3" s="1"/>
  <c r="E121" i="3" a="1"/>
  <c r="E121" i="3" s="1"/>
  <c r="P121" i="3" s="1"/>
  <c r="F137" i="3" a="1"/>
  <c r="F137" i="3" s="1"/>
  <c r="Q137" i="3" s="1"/>
  <c r="E146" i="3" a="1"/>
  <c r="E146" i="3" s="1"/>
  <c r="P146" i="3" s="1"/>
  <c r="C154" i="3" a="1"/>
  <c r="C154" i="3" s="1"/>
  <c r="N154" i="3" s="1"/>
  <c r="D158" i="3" a="1"/>
  <c r="D158" i="3" s="1"/>
  <c r="O158" i="3" s="1"/>
  <c r="E162" i="3" a="1"/>
  <c r="E162" i="3" s="1"/>
  <c r="P162" i="3" s="1"/>
  <c r="E166" i="3" a="1"/>
  <c r="E166" i="3" s="1"/>
  <c r="P166" i="3" s="1"/>
  <c r="C170" i="3" a="1"/>
  <c r="C170" i="3" s="1"/>
  <c r="N170" i="3" s="1"/>
  <c r="D173" i="3" a="1"/>
  <c r="D173" i="3" s="1"/>
  <c r="O173" i="3" s="1"/>
  <c r="C176" i="3" a="1"/>
  <c r="C176" i="3" s="1"/>
  <c r="N176" i="3" s="1"/>
  <c r="D179" i="3" a="1"/>
  <c r="D179" i="3" s="1"/>
  <c r="O179" i="3" s="1"/>
  <c r="E182" i="3" a="1"/>
  <c r="E182" i="3" s="1"/>
  <c r="P182" i="3" s="1"/>
  <c r="E185" i="3" a="1"/>
  <c r="E185" i="3" s="1"/>
  <c r="P185" i="3" s="1"/>
  <c r="D188" i="3" a="1"/>
  <c r="D188" i="3" s="1"/>
  <c r="O188" i="3" s="1"/>
  <c r="E190" i="3" a="1"/>
  <c r="E190" i="3" s="1"/>
  <c r="P190" i="3" s="1"/>
  <c r="C193" i="3" a="1"/>
  <c r="C193" i="3" s="1"/>
  <c r="N193" i="3" s="1"/>
  <c r="D195" i="3" a="1"/>
  <c r="D195" i="3" s="1"/>
  <c r="O195" i="3" s="1"/>
  <c r="F197" i="3" a="1"/>
  <c r="F197" i="3" s="1"/>
  <c r="Q197" i="3" s="1"/>
  <c r="F199" i="3" a="1"/>
  <c r="F199" i="3" s="1"/>
  <c r="Q199" i="3" s="1"/>
  <c r="D202" i="3" a="1"/>
  <c r="D202" i="3" s="1"/>
  <c r="O202" i="3" s="1"/>
  <c r="C205" i="3" a="1"/>
  <c r="C205" i="3" s="1"/>
  <c r="N205" i="3" s="1"/>
  <c r="E207" i="3" a="1"/>
  <c r="E207" i="3" s="1"/>
  <c r="P207" i="3" s="1"/>
  <c r="C210" i="3" a="1"/>
  <c r="C210" i="3" s="1"/>
  <c r="N210" i="3" s="1"/>
  <c r="D212" i="3" a="1"/>
  <c r="D212" i="3" s="1"/>
  <c r="O212" i="3" s="1"/>
  <c r="F214" i="3" a="1"/>
  <c r="F214" i="3" s="1"/>
  <c r="Q214" i="3" s="1"/>
  <c r="C217" i="3" a="1"/>
  <c r="C217" i="3" s="1"/>
  <c r="N217" i="3" s="1"/>
  <c r="F219" i="3" a="1"/>
  <c r="F219" i="3" s="1"/>
  <c r="Q219" i="3" s="1"/>
  <c r="F221" i="3" a="1"/>
  <c r="F221" i="3" s="1"/>
  <c r="Q221" i="3" s="1"/>
  <c r="D224" i="3" a="1"/>
  <c r="D224" i="3" s="1"/>
  <c r="O224" i="3" s="1"/>
  <c r="F226" i="3" a="1"/>
  <c r="F226" i="3" s="1"/>
  <c r="Q226" i="3" s="1"/>
  <c r="E228" i="3" a="1"/>
  <c r="E228" i="3" s="1"/>
  <c r="P228" i="3" s="1"/>
  <c r="C231" i="3" a="1"/>
  <c r="C231" i="3" s="1"/>
  <c r="N231" i="3" s="1"/>
  <c r="C233" i="3" a="1"/>
  <c r="C233" i="3" s="1"/>
  <c r="N233" i="3" s="1"/>
  <c r="E237" i="3" a="1"/>
  <c r="E237" i="3" s="1"/>
  <c r="P237" i="3" s="1"/>
  <c r="F239" i="3" a="1"/>
  <c r="F239" i="3" s="1"/>
  <c r="Q239" i="3" s="1"/>
  <c r="C242" i="3" a="1"/>
  <c r="C242" i="3" s="1"/>
  <c r="N242" i="3" s="1"/>
  <c r="E244" i="3" a="1"/>
  <c r="E244" i="3" s="1"/>
  <c r="P244" i="3" s="1"/>
  <c r="F246" i="3" a="1"/>
  <c r="F246" i="3" s="1"/>
  <c r="Q246" i="3" s="1"/>
  <c r="E248" i="3" a="1"/>
  <c r="E248" i="3" s="1"/>
  <c r="P248" i="3" s="1"/>
  <c r="D250" i="3" a="1"/>
  <c r="D250" i="3" s="1"/>
  <c r="O250" i="3" s="1"/>
  <c r="D252" i="3" a="1"/>
  <c r="D252" i="3" s="1"/>
  <c r="O252" i="3" s="1"/>
  <c r="C254" i="3" a="1"/>
  <c r="C254" i="3" s="1"/>
  <c r="N254" i="3" s="1"/>
  <c r="D257" i="3" a="1"/>
  <c r="D257" i="3" s="1"/>
  <c r="O257" i="3" s="1"/>
  <c r="D259" i="3" a="1"/>
  <c r="D259" i="3" s="1"/>
  <c r="O259" i="3" s="1"/>
  <c r="F260" i="3" a="1"/>
  <c r="F260" i="3" s="1"/>
  <c r="Q260" i="3" s="1"/>
  <c r="D264" i="3" a="1"/>
  <c r="D264" i="3" s="1"/>
  <c r="O264" i="3" s="1"/>
  <c r="C266" i="3" a="1"/>
  <c r="C266" i="3" s="1"/>
  <c r="N266" i="3" s="1"/>
  <c r="D269" i="3" a="1"/>
  <c r="D269" i="3" s="1"/>
  <c r="O269" i="3" s="1"/>
  <c r="C271" i="3" a="1"/>
  <c r="C271" i="3" s="1"/>
  <c r="N271" i="3" s="1"/>
  <c r="E272" i="3" a="1"/>
  <c r="E272" i="3" s="1"/>
  <c r="P272" i="3" s="1"/>
  <c r="D274" i="3" a="1"/>
  <c r="D274" i="3" s="1"/>
  <c r="O274" i="3" s="1"/>
  <c r="C276" i="3" a="1"/>
  <c r="C276" i="3" s="1"/>
  <c r="N276" i="3" s="1"/>
  <c r="F277" i="3" a="1"/>
  <c r="F277" i="3" s="1"/>
  <c r="Q277" i="3" s="1"/>
  <c r="E279" i="3" a="1"/>
  <c r="E279" i="3" s="1"/>
  <c r="P279" i="3" s="1"/>
  <c r="D281" i="3" a="1"/>
  <c r="D281" i="3" s="1"/>
  <c r="O281" i="3" s="1"/>
  <c r="D283" i="3" a="1"/>
  <c r="D283" i="3" s="1"/>
  <c r="O283" i="3" s="1"/>
  <c r="F284" i="3" a="1"/>
  <c r="F284" i="3" s="1"/>
  <c r="Q284" i="3" s="1"/>
  <c r="E286" i="3" a="1"/>
  <c r="E286" i="3" s="1"/>
  <c r="P286" i="3" s="1"/>
  <c r="D288" i="3" a="1"/>
  <c r="D288" i="3" s="1"/>
  <c r="O288" i="3" s="1"/>
  <c r="C290" i="3" a="1"/>
  <c r="C290" i="3" s="1"/>
  <c r="N290" i="3" s="1"/>
  <c r="F291" i="3" a="1"/>
  <c r="F291" i="3" s="1"/>
  <c r="Q291" i="3" s="1"/>
  <c r="D293" i="3" a="1"/>
  <c r="D293" i="3" s="1"/>
  <c r="O293" i="3" s="1"/>
  <c r="C295" i="3" a="1"/>
  <c r="C295" i="3" s="1"/>
  <c r="N295" i="3" s="1"/>
  <c r="F299" i="3" a="1"/>
  <c r="F299" i="3" s="1"/>
  <c r="Q299" i="3" s="1"/>
  <c r="E301" i="3" a="1"/>
  <c r="E301" i="3" s="1"/>
  <c r="P301" i="3" s="1"/>
  <c r="F304" i="3" a="1"/>
  <c r="F304" i="3" s="1"/>
  <c r="Q304" i="3" s="1"/>
  <c r="E306" i="3" a="1"/>
  <c r="E306" i="3" s="1"/>
  <c r="P306" i="3" s="1"/>
  <c r="F309" i="3" a="1"/>
  <c r="F309" i="3" s="1"/>
  <c r="Q309" i="3" s="1"/>
  <c r="E311" i="3" a="1"/>
  <c r="E311" i="3" s="1"/>
  <c r="P311" i="3" s="1"/>
  <c r="C313" i="3" a="1"/>
  <c r="C313" i="3" s="1"/>
  <c r="N313" i="3" s="1"/>
  <c r="E314" i="3" a="1"/>
  <c r="E314" i="3" s="1"/>
  <c r="P314" i="3" s="1"/>
  <c r="F123" i="3" a="1"/>
  <c r="F123" i="3" s="1"/>
  <c r="Q123" i="3" s="1"/>
  <c r="F138" i="3" a="1"/>
  <c r="F138" i="3" s="1"/>
  <c r="Q138" i="3" s="1"/>
  <c r="D147" i="3" a="1"/>
  <c r="D147" i="3" s="1"/>
  <c r="O147" i="3" s="1"/>
  <c r="C155" i="3" a="1"/>
  <c r="C155" i="3" s="1"/>
  <c r="N155" i="3" s="1"/>
  <c r="D159" i="3" a="1"/>
  <c r="D159" i="3" s="1"/>
  <c r="O159" i="3" s="1"/>
  <c r="D163" i="3" a="1"/>
  <c r="D163" i="3" s="1"/>
  <c r="O163" i="3" s="1"/>
  <c r="D170" i="3" a="1"/>
  <c r="D170" i="3" s="1"/>
  <c r="O170" i="3" s="1"/>
  <c r="F173" i="3" a="1"/>
  <c r="F173" i="3" s="1"/>
  <c r="Q173" i="3" s="1"/>
  <c r="F176" i="3" a="1"/>
  <c r="F176" i="3" s="1"/>
  <c r="Q176" i="3" s="1"/>
  <c r="E179" i="3" a="1"/>
  <c r="E179" i="3" s="1"/>
  <c r="P179" i="3" s="1"/>
  <c r="F182" i="3" a="1"/>
  <c r="F182" i="3" s="1"/>
  <c r="Q182" i="3" s="1"/>
  <c r="F185" i="3" a="1"/>
  <c r="F185" i="3" s="1"/>
  <c r="Q185" i="3" s="1"/>
  <c r="F188" i="3" a="1"/>
  <c r="F188" i="3" s="1"/>
  <c r="Q188" i="3" s="1"/>
  <c r="F190" i="3" a="1"/>
  <c r="F190" i="3" s="1"/>
  <c r="Q190" i="3" s="1"/>
  <c r="C198" i="3" a="1"/>
  <c r="C198" i="3" s="1"/>
  <c r="N198" i="3" s="1"/>
  <c r="D200" i="3" a="1"/>
  <c r="D200" i="3" s="1"/>
  <c r="O200" i="3" s="1"/>
  <c r="F202" i="3" a="1"/>
  <c r="F202" i="3" s="1"/>
  <c r="Q202" i="3" s="1"/>
  <c r="D205" i="3" a="1"/>
  <c r="D205" i="3" s="1"/>
  <c r="O205" i="3" s="1"/>
  <c r="C208" i="3" a="1"/>
  <c r="C208" i="3" s="1"/>
  <c r="N208" i="3" s="1"/>
  <c r="E210" i="3" a="1"/>
  <c r="E210" i="3" s="1"/>
  <c r="P210" i="3" s="1"/>
  <c r="E212" i="3" a="1"/>
  <c r="E212" i="3" s="1"/>
  <c r="P212" i="3" s="1"/>
  <c r="E217" i="3" a="1"/>
  <c r="E217" i="3" s="1"/>
  <c r="P217" i="3" s="1"/>
  <c r="C220" i="3" a="1"/>
  <c r="C220" i="3" s="1"/>
  <c r="N220" i="3" s="1"/>
  <c r="D222" i="3" a="1"/>
  <c r="D222" i="3" s="1"/>
  <c r="O222" i="3" s="1"/>
  <c r="F224" i="3" a="1"/>
  <c r="F224" i="3" s="1"/>
  <c r="Q224" i="3" s="1"/>
  <c r="C227" i="3" a="1"/>
  <c r="C227" i="3" s="1"/>
  <c r="N227" i="3" s="1"/>
  <c r="C229" i="3" a="1"/>
  <c r="C229" i="3" s="1"/>
  <c r="N229" i="3" s="1"/>
  <c r="D231" i="3" a="1"/>
  <c r="D231" i="3" s="1"/>
  <c r="O231" i="3" s="1"/>
  <c r="D233" i="3" a="1"/>
  <c r="D233" i="3" s="1"/>
  <c r="O233" i="3" s="1"/>
  <c r="E235" i="3" a="1"/>
  <c r="E235" i="3" s="1"/>
  <c r="P235" i="3" s="1"/>
  <c r="C238" i="3" a="1"/>
  <c r="C238" i="3" s="1"/>
  <c r="N238" i="3" s="1"/>
  <c r="C240" i="3" a="1"/>
  <c r="C240" i="3" s="1"/>
  <c r="N240" i="3" s="1"/>
  <c r="E242" i="3" a="1"/>
  <c r="E242" i="3" s="1"/>
  <c r="P242" i="3" s="1"/>
  <c r="C245" i="3" a="1"/>
  <c r="C245" i="3" s="1"/>
  <c r="N245" i="3" s="1"/>
  <c r="C247" i="3" a="1"/>
  <c r="C247" i="3" s="1"/>
  <c r="N247" i="3" s="1"/>
  <c r="F125" i="3" a="1"/>
  <c r="F125" i="3" s="1"/>
  <c r="Q125" i="3" s="1"/>
  <c r="D140" i="3" a="1"/>
  <c r="D140" i="3" s="1"/>
  <c r="O140" i="3" s="1"/>
  <c r="E148" i="3" a="1"/>
  <c r="E148" i="3" s="1"/>
  <c r="P148" i="3" s="1"/>
  <c r="F155" i="3" a="1"/>
  <c r="F155" i="3" s="1"/>
  <c r="Q155" i="3" s="1"/>
  <c r="C160" i="3" a="1"/>
  <c r="C160" i="3" s="1"/>
  <c r="N160" i="3" s="1"/>
  <c r="C164" i="3" a="1"/>
  <c r="C164" i="3" s="1"/>
  <c r="N164" i="3" s="1"/>
  <c r="F167" i="3" a="1"/>
  <c r="F167" i="3" s="1"/>
  <c r="Q167" i="3" s="1"/>
  <c r="C171" i="3" a="1"/>
  <c r="C171" i="3" s="1"/>
  <c r="N171" i="3" s="1"/>
  <c r="C174" i="3" a="1"/>
  <c r="C174" i="3" s="1"/>
  <c r="N174" i="3" s="1"/>
  <c r="C177" i="3" a="1"/>
  <c r="C177" i="3" s="1"/>
  <c r="N177" i="3" s="1"/>
  <c r="F179" i="3" a="1"/>
  <c r="F179" i="3" s="1"/>
  <c r="Q179" i="3" s="1"/>
  <c r="D183" i="3" a="1"/>
  <c r="D183" i="3" s="1"/>
  <c r="O183" i="3" s="1"/>
  <c r="E186" i="3" a="1"/>
  <c r="E186" i="3" s="1"/>
  <c r="P186" i="3" s="1"/>
  <c r="C189" i="3" a="1"/>
  <c r="C189" i="3" s="1"/>
  <c r="N189" i="3" s="1"/>
  <c r="C191" i="3" a="1"/>
  <c r="C191" i="3" s="1"/>
  <c r="N191" i="3" s="1"/>
  <c r="E193" i="3" a="1"/>
  <c r="E193" i="3" s="1"/>
  <c r="P193" i="3" s="1"/>
  <c r="F195" i="3" a="1"/>
  <c r="F195" i="3" s="1"/>
  <c r="Q195" i="3" s="1"/>
  <c r="D198" i="3" a="1"/>
  <c r="D198" i="3" s="1"/>
  <c r="O198" i="3" s="1"/>
  <c r="E200" i="3" a="1"/>
  <c r="E200" i="3" s="1"/>
  <c r="P200" i="3" s="1"/>
  <c r="C203" i="3" a="1"/>
  <c r="C203" i="3" s="1"/>
  <c r="N203" i="3" s="1"/>
  <c r="E205" i="3" a="1"/>
  <c r="E205" i="3" s="1"/>
  <c r="P205" i="3" s="1"/>
  <c r="D208" i="3" a="1"/>
  <c r="D208" i="3" s="1"/>
  <c r="O208" i="3" s="1"/>
  <c r="F210" i="3" a="1"/>
  <c r="F210" i="3" s="1"/>
  <c r="Q210" i="3" s="1"/>
  <c r="F212" i="3" a="1"/>
  <c r="F212" i="3" s="1"/>
  <c r="Q212" i="3" s="1"/>
  <c r="D215" i="3" a="1"/>
  <c r="D215" i="3" s="1"/>
  <c r="O215" i="3" s="1"/>
  <c r="F217" i="3" a="1"/>
  <c r="F217" i="3" s="1"/>
  <c r="Q217" i="3" s="1"/>
  <c r="C225" i="3" a="1"/>
  <c r="C225" i="3" s="1"/>
  <c r="N225" i="3" s="1"/>
  <c r="D229" i="3" a="1"/>
  <c r="D229" i="3" s="1"/>
  <c r="O229" i="3" s="1"/>
  <c r="E231" i="3" a="1"/>
  <c r="E231" i="3" s="1"/>
  <c r="P231" i="3" s="1"/>
  <c r="F235" i="3" a="1"/>
  <c r="F235" i="3" s="1"/>
  <c r="Q235" i="3" s="1"/>
  <c r="D238" i="3" a="1"/>
  <c r="D238" i="3" s="1"/>
  <c r="O238" i="3" s="1"/>
  <c r="D240" i="3" a="1"/>
  <c r="D240" i="3" s="1"/>
  <c r="O240" i="3" s="1"/>
  <c r="F242" i="3" a="1"/>
  <c r="F242" i="3" s="1"/>
  <c r="Q242" i="3" s="1"/>
  <c r="D245" i="3" a="1"/>
  <c r="D245" i="3" s="1"/>
  <c r="O245" i="3" s="1"/>
  <c r="F248" i="3" a="1"/>
  <c r="F248" i="3" s="1"/>
  <c r="Q248" i="3" s="1"/>
  <c r="F250" i="3" a="1"/>
  <c r="F250" i="3" s="1"/>
  <c r="Q250" i="3" s="1"/>
  <c r="F252" i="3" a="1"/>
  <c r="F252" i="3" s="1"/>
  <c r="Q252" i="3" s="1"/>
  <c r="E254" i="3" a="1"/>
  <c r="E254" i="3" s="1"/>
  <c r="P254" i="3" s="1"/>
  <c r="C256" i="3" a="1"/>
  <c r="C256" i="3" s="1"/>
  <c r="N256" i="3" s="1"/>
  <c r="F257" i="3" a="1"/>
  <c r="F257" i="3" s="1"/>
  <c r="Q257" i="3" s="1"/>
  <c r="D261" i="3" a="1"/>
  <c r="D261" i="3" s="1"/>
  <c r="O261" i="3" s="1"/>
  <c r="F262" i="3" a="1"/>
  <c r="F262" i="3" s="1"/>
  <c r="Q262" i="3" s="1"/>
  <c r="F264" i="3" a="1"/>
  <c r="F264" i="3" s="1"/>
  <c r="Q264" i="3" s="1"/>
  <c r="E266" i="3" a="1"/>
  <c r="E266" i="3" s="1"/>
  <c r="P266" i="3" s="1"/>
  <c r="C268" i="3" a="1"/>
  <c r="C268" i="3" s="1"/>
  <c r="N268" i="3" s="1"/>
  <c r="F269" i="3" a="1"/>
  <c r="F269" i="3" s="1"/>
  <c r="Q269" i="3" s="1"/>
  <c r="D271" i="3" a="1"/>
  <c r="D271" i="3" s="1"/>
  <c r="O271" i="3" s="1"/>
  <c r="F272" i="3" a="1"/>
  <c r="F272" i="3" s="1"/>
  <c r="Q272" i="3" s="1"/>
  <c r="F274" i="3" a="1"/>
  <c r="F274" i="3" s="1"/>
  <c r="Q274" i="3" s="1"/>
  <c r="D276" i="3" a="1"/>
  <c r="D276" i="3" s="1"/>
  <c r="O276" i="3" s="1"/>
  <c r="D278" i="3" a="1"/>
  <c r="D278" i="3" s="1"/>
  <c r="O278" i="3" s="1"/>
  <c r="C280" i="3" a="1"/>
  <c r="C280" i="3" s="1"/>
  <c r="N280" i="3" s="1"/>
  <c r="F281" i="3" a="1"/>
  <c r="F281" i="3" s="1"/>
  <c r="Q281" i="3" s="1"/>
  <c r="D285" i="3" a="1"/>
  <c r="D285" i="3" s="1"/>
  <c r="O285" i="3" s="1"/>
  <c r="C287" i="3" a="1"/>
  <c r="C287" i="3" s="1"/>
  <c r="N287" i="3" s="1"/>
  <c r="F288" i="3" a="1"/>
  <c r="F288" i="3" s="1"/>
  <c r="Q288" i="3" s="1"/>
  <c r="E290" i="3" a="1"/>
  <c r="E290" i="3" s="1"/>
  <c r="P290" i="3" s="1"/>
  <c r="F293" i="3" a="1"/>
  <c r="F293" i="3" s="1"/>
  <c r="Q293" i="3" s="1"/>
  <c r="D295" i="3" a="1"/>
  <c r="D295" i="3" s="1"/>
  <c r="O295" i="3" s="1"/>
  <c r="C297" i="3" a="1"/>
  <c r="C297" i="3" s="1"/>
  <c r="N297" i="3" s="1"/>
  <c r="E298" i="3" a="1"/>
  <c r="E298" i="3" s="1"/>
  <c r="P298" i="3" s="1"/>
  <c r="D300" i="3" a="1"/>
  <c r="D300" i="3" s="1"/>
  <c r="O300" i="3" s="1"/>
  <c r="C302" i="3" a="1"/>
  <c r="C302" i="3" s="1"/>
  <c r="N302" i="3" s="1"/>
  <c r="E303" i="3" a="1"/>
  <c r="E303" i="3" s="1"/>
  <c r="P303" i="3" s="1"/>
  <c r="D305" i="3" a="1"/>
  <c r="D305" i="3" s="1"/>
  <c r="O305" i="3" s="1"/>
  <c r="C307" i="3" a="1"/>
  <c r="C307" i="3" s="1"/>
  <c r="N307" i="3" s="1"/>
  <c r="E313" i="3" a="1"/>
  <c r="E313" i="3" s="1"/>
  <c r="P313" i="3" s="1"/>
  <c r="C315" i="3" a="1"/>
  <c r="C315" i="3" s="1"/>
  <c r="N315" i="3" s="1"/>
  <c r="F316" i="3" a="1"/>
  <c r="F316" i="3" s="1"/>
  <c r="Q316" i="3" s="1"/>
  <c r="E318" i="3" a="1"/>
  <c r="E318" i="3" s="1"/>
  <c r="P318" i="3" s="1"/>
  <c r="D320" i="3" a="1"/>
  <c r="D320" i="3" s="1"/>
  <c r="O320" i="3" s="1"/>
  <c r="D322" i="3" a="1"/>
  <c r="D322" i="3" s="1"/>
  <c r="O322" i="3" s="1"/>
  <c r="C324" i="3" a="1"/>
  <c r="C324" i="3" s="1"/>
  <c r="N324" i="3" s="1"/>
  <c r="F325" i="3" a="1"/>
  <c r="F325" i="3" s="1"/>
  <c r="Q325" i="3" s="1"/>
  <c r="E327" i="3" a="1"/>
  <c r="E327" i="3" s="1"/>
  <c r="P327" i="3" s="1"/>
  <c r="D329" i="3" a="1"/>
  <c r="D329" i="3" s="1"/>
  <c r="O329" i="3" s="1"/>
  <c r="F330" i="3" a="1"/>
  <c r="F330" i="3" s="1"/>
  <c r="Q330" i="3" s="1"/>
  <c r="E332" i="3" a="1"/>
  <c r="E332" i="3" s="1"/>
  <c r="P332" i="3" s="1"/>
  <c r="F127" i="3" a="1"/>
  <c r="F127" i="3" s="1"/>
  <c r="Q127" i="3" s="1"/>
  <c r="F140" i="3" a="1"/>
  <c r="F140" i="3" s="1"/>
  <c r="Q140" i="3" s="1"/>
  <c r="E149" i="3" a="1"/>
  <c r="E149" i="3" s="1"/>
  <c r="P149" i="3" s="1"/>
  <c r="C156" i="3" a="1"/>
  <c r="C156" i="3" s="1"/>
  <c r="N156" i="3" s="1"/>
  <c r="D160" i="3" a="1"/>
  <c r="D160" i="3" s="1"/>
  <c r="O160" i="3" s="1"/>
  <c r="C168" i="3" a="1"/>
  <c r="C168" i="3" s="1"/>
  <c r="N168" i="3" s="1"/>
  <c r="D171" i="3" a="1"/>
  <c r="D171" i="3" s="1"/>
  <c r="O171" i="3" s="1"/>
  <c r="D174" i="3" a="1"/>
  <c r="D174" i="3" s="1"/>
  <c r="O174" i="3" s="1"/>
  <c r="E177" i="3" a="1"/>
  <c r="E177" i="3" s="1"/>
  <c r="P177" i="3" s="1"/>
  <c r="E180" i="3" a="1"/>
  <c r="E180" i="3" s="1"/>
  <c r="P180" i="3" s="1"/>
  <c r="E183" i="3" a="1"/>
  <c r="E183" i="3" s="1"/>
  <c r="P183" i="3" s="1"/>
  <c r="F186" i="3" a="1"/>
  <c r="F186" i="3" s="1"/>
  <c r="Q186" i="3" s="1"/>
  <c r="D189" i="3" a="1"/>
  <c r="D189" i="3" s="1"/>
  <c r="O189" i="3" s="1"/>
  <c r="E191" i="3" a="1"/>
  <c r="E191" i="3" s="1"/>
  <c r="P191" i="3" s="1"/>
  <c r="C194" i="3" a="1"/>
  <c r="C194" i="3" s="1"/>
  <c r="N194" i="3" s="1"/>
  <c r="C196" i="3" a="1"/>
  <c r="C196" i="3" s="1"/>
  <c r="N196" i="3" s="1"/>
  <c r="F198" i="3" a="1"/>
  <c r="F198" i="3" s="1"/>
  <c r="Q198" i="3" s="1"/>
  <c r="F200" i="3" a="1"/>
  <c r="F200" i="3" s="1"/>
  <c r="Q200" i="3" s="1"/>
  <c r="D203" i="3" a="1"/>
  <c r="D203" i="3" s="1"/>
  <c r="O203" i="3" s="1"/>
  <c r="C206" i="3" a="1"/>
  <c r="C206" i="3" s="1"/>
  <c r="N206" i="3" s="1"/>
  <c r="F208" i="3" a="1"/>
  <c r="F208" i="3" s="1"/>
  <c r="Q208" i="3" s="1"/>
  <c r="C211" i="3" a="1"/>
  <c r="C211" i="3" s="1"/>
  <c r="N211" i="3" s="1"/>
  <c r="F129" i="3" a="1"/>
  <c r="F129" i="3" s="1"/>
  <c r="Q129" i="3" s="1"/>
  <c r="D142" i="3" a="1"/>
  <c r="D142" i="3" s="1"/>
  <c r="O142" i="3" s="1"/>
  <c r="D156" i="3" a="1"/>
  <c r="D156" i="3" s="1"/>
  <c r="O156" i="3" s="1"/>
  <c r="F160" i="3" a="1"/>
  <c r="F160" i="3" s="1"/>
  <c r="Q160" i="3" s="1"/>
  <c r="D164" i="3" a="1"/>
  <c r="D164" i="3" s="1"/>
  <c r="O164" i="3" s="1"/>
  <c r="D168" i="3" a="1"/>
  <c r="D168" i="3" s="1"/>
  <c r="O168" i="3" s="1"/>
  <c r="F171" i="3" a="1"/>
  <c r="F171" i="3" s="1"/>
  <c r="Q171" i="3" s="1"/>
  <c r="C175" i="3" a="1"/>
  <c r="C175" i="3" s="1"/>
  <c r="N175" i="3" s="1"/>
  <c r="F177" i="3" a="1"/>
  <c r="F177" i="3" s="1"/>
  <c r="Q177" i="3" s="1"/>
  <c r="F180" i="3" a="1"/>
  <c r="F180" i="3" s="1"/>
  <c r="Q180" i="3" s="1"/>
  <c r="C201" i="3" a="1"/>
  <c r="C201" i="3" s="1"/>
  <c r="N201" i="3" s="1"/>
  <c r="C216" i="3" a="1"/>
  <c r="C216" i="3" s="1"/>
  <c r="N216" i="3" s="1"/>
  <c r="C234" i="3" a="1"/>
  <c r="C234" i="3" s="1"/>
  <c r="N234" i="3" s="1"/>
  <c r="E241" i="3" a="1"/>
  <c r="E241" i="3" s="1"/>
  <c r="P241" i="3" s="1"/>
  <c r="E247" i="3" a="1"/>
  <c r="E247" i="3" s="1"/>
  <c r="P247" i="3" s="1"/>
  <c r="F254" i="3" a="1"/>
  <c r="F254" i="3" s="1"/>
  <c r="Q254" i="3" s="1"/>
  <c r="F256" i="3" a="1"/>
  <c r="F256" i="3" s="1"/>
  <c r="Q256" i="3" s="1"/>
  <c r="C260" i="3" a="1"/>
  <c r="C260" i="3" s="1"/>
  <c r="N260" i="3" s="1"/>
  <c r="E262" i="3" a="1"/>
  <c r="E262" i="3" s="1"/>
  <c r="P262" i="3" s="1"/>
  <c r="E270" i="3" a="1"/>
  <c r="E270" i="3" s="1"/>
  <c r="P270" i="3" s="1"/>
  <c r="D273" i="3" a="1"/>
  <c r="D273" i="3" s="1"/>
  <c r="O273" i="3" s="1"/>
  <c r="F278" i="3" a="1"/>
  <c r="F278" i="3" s="1"/>
  <c r="Q278" i="3" s="1"/>
  <c r="C282" i="3" a="1"/>
  <c r="C282" i="3" s="1"/>
  <c r="N282" i="3" s="1"/>
  <c r="D284" i="3" a="1"/>
  <c r="D284" i="3" s="1"/>
  <c r="O284" i="3" s="1"/>
  <c r="D287" i="3" a="1"/>
  <c r="D287" i="3" s="1"/>
  <c r="O287" i="3" s="1"/>
  <c r="D290" i="3" a="1"/>
  <c r="D290" i="3" s="1"/>
  <c r="O290" i="3" s="1"/>
  <c r="E292" i="3" a="1"/>
  <c r="E292" i="3" s="1"/>
  <c r="P292" i="3" s="1"/>
  <c r="E295" i="3" a="1"/>
  <c r="E295" i="3" s="1"/>
  <c r="P295" i="3" s="1"/>
  <c r="F297" i="3" a="1"/>
  <c r="F297" i="3" s="1"/>
  <c r="Q297" i="3" s="1"/>
  <c r="F300" i="3" a="1"/>
  <c r="F300" i="3" s="1"/>
  <c r="Q300" i="3" s="1"/>
  <c r="D303" i="3" a="1"/>
  <c r="D303" i="3" s="1"/>
  <c r="O303" i="3" s="1"/>
  <c r="F305" i="3" a="1"/>
  <c r="F305" i="3" s="1"/>
  <c r="Q305" i="3" s="1"/>
  <c r="E308" i="3" a="1"/>
  <c r="E308" i="3" s="1"/>
  <c r="P308" i="3" s="1"/>
  <c r="C311" i="3" a="1"/>
  <c r="C311" i="3" s="1"/>
  <c r="N311" i="3" s="1"/>
  <c r="C314" i="3" a="1"/>
  <c r="C314" i="3" s="1"/>
  <c r="N314" i="3" s="1"/>
  <c r="F318" i="3" a="1"/>
  <c r="F318" i="3" s="1"/>
  <c r="Q318" i="3" s="1"/>
  <c r="C321" i="3" a="1"/>
  <c r="C321" i="3" s="1"/>
  <c r="N321" i="3" s="1"/>
  <c r="E323" i="3" a="1"/>
  <c r="E323" i="3" s="1"/>
  <c r="P323" i="3" s="1"/>
  <c r="F183" i="3" a="1"/>
  <c r="F183" i="3" s="1"/>
  <c r="Q183" i="3" s="1"/>
  <c r="E203" i="3" a="1"/>
  <c r="E203" i="3" s="1"/>
  <c r="P203" i="3" s="1"/>
  <c r="C218" i="3" a="1"/>
  <c r="C218" i="3" s="1"/>
  <c r="N218" i="3" s="1"/>
  <c r="E227" i="3" a="1"/>
  <c r="E227" i="3" s="1"/>
  <c r="P227" i="3" s="1"/>
  <c r="D236" i="3" a="1"/>
  <c r="D236" i="3" s="1"/>
  <c r="O236" i="3" s="1"/>
  <c r="F247" i="3" a="1"/>
  <c r="F247" i="3" s="1"/>
  <c r="Q247" i="3" s="1"/>
  <c r="F251" i="3" a="1"/>
  <c r="F251" i="3" s="1"/>
  <c r="Q251" i="3" s="1"/>
  <c r="C255" i="3" a="1"/>
  <c r="C255" i="3" s="1"/>
  <c r="N255" i="3" s="1"/>
  <c r="E257" i="3" a="1"/>
  <c r="E257" i="3" s="1"/>
  <c r="P257" i="3" s="1"/>
  <c r="C263" i="3" a="1"/>
  <c r="C263" i="3" s="1"/>
  <c r="N263" i="3" s="1"/>
  <c r="E265" i="3" a="1"/>
  <c r="E265" i="3" s="1"/>
  <c r="P265" i="3" s="1"/>
  <c r="D268" i="3" a="1"/>
  <c r="D268" i="3" s="1"/>
  <c r="O268" i="3" s="1"/>
  <c r="E273" i="3" a="1"/>
  <c r="E273" i="3" s="1"/>
  <c r="P273" i="3" s="1"/>
  <c r="E276" i="3" a="1"/>
  <c r="E276" i="3" s="1"/>
  <c r="P276" i="3" s="1"/>
  <c r="C279" i="3" a="1"/>
  <c r="C279" i="3" s="1"/>
  <c r="N279" i="3" s="1"/>
  <c r="D282" i="3" a="1"/>
  <c r="D282" i="3" s="1"/>
  <c r="O282" i="3" s="1"/>
  <c r="C285" i="3" a="1"/>
  <c r="C285" i="3" s="1"/>
  <c r="N285" i="3" s="1"/>
  <c r="E287" i="3" a="1"/>
  <c r="E287" i="3" s="1"/>
  <c r="P287" i="3" s="1"/>
  <c r="F290" i="3" a="1"/>
  <c r="F290" i="3" s="1"/>
  <c r="Q290" i="3" s="1"/>
  <c r="F292" i="3" a="1"/>
  <c r="F292" i="3" s="1"/>
  <c r="Q292" i="3" s="1"/>
  <c r="F295" i="3" a="1"/>
  <c r="F295" i="3" s="1"/>
  <c r="Q295" i="3" s="1"/>
  <c r="D298" i="3" a="1"/>
  <c r="D298" i="3" s="1"/>
  <c r="O298" i="3" s="1"/>
  <c r="C301" i="3" a="1"/>
  <c r="C301" i="3" s="1"/>
  <c r="N301" i="3" s="1"/>
  <c r="C306" i="3" a="1"/>
  <c r="C306" i="3" s="1"/>
  <c r="N306" i="3" s="1"/>
  <c r="F308" i="3" a="1"/>
  <c r="F308" i="3" s="1"/>
  <c r="Q308" i="3" s="1"/>
  <c r="F311" i="3" a="1"/>
  <c r="F311" i="3" s="1"/>
  <c r="Q311" i="3" s="1"/>
  <c r="E316" i="3" a="1"/>
  <c r="E316" i="3" s="1"/>
  <c r="P316" i="3" s="1"/>
  <c r="C319" i="3" a="1"/>
  <c r="C319" i="3" s="1"/>
  <c r="N319" i="3" s="1"/>
  <c r="D321" i="3" a="1"/>
  <c r="D321" i="3" s="1"/>
  <c r="O321" i="3" s="1"/>
  <c r="F323" i="3" a="1"/>
  <c r="F323" i="3" s="1"/>
  <c r="Q323" i="3" s="1"/>
  <c r="D206" i="3" a="1"/>
  <c r="D206" i="3" s="1"/>
  <c r="O206" i="3" s="1"/>
  <c r="D218" i="3" a="1"/>
  <c r="D218" i="3" s="1"/>
  <c r="O218" i="3" s="1"/>
  <c r="E236" i="3" a="1"/>
  <c r="E236" i="3" s="1"/>
  <c r="P236" i="3" s="1"/>
  <c r="D243" i="3" a="1"/>
  <c r="D243" i="3" s="1"/>
  <c r="O243" i="3" s="1"/>
  <c r="E252" i="3" a="1"/>
  <c r="E252" i="3" s="1"/>
  <c r="P252" i="3" s="1"/>
  <c r="C258" i="3" a="1"/>
  <c r="C258" i="3" s="1"/>
  <c r="N258" i="3" s="1"/>
  <c r="D260" i="3" a="1"/>
  <c r="D260" i="3" s="1"/>
  <c r="O260" i="3" s="1"/>
  <c r="D263" i="3" a="1"/>
  <c r="D263" i="3" s="1"/>
  <c r="O263" i="3" s="1"/>
  <c r="D266" i="3" a="1"/>
  <c r="D266" i="3" s="1"/>
  <c r="O266" i="3" s="1"/>
  <c r="E268" i="3" a="1"/>
  <c r="E268" i="3" s="1"/>
  <c r="P268" i="3" s="1"/>
  <c r="E271" i="3" a="1"/>
  <c r="E271" i="3" s="1"/>
  <c r="P271" i="3" s="1"/>
  <c r="F273" i="3" a="1"/>
  <c r="F273" i="3" s="1"/>
  <c r="Q273" i="3" s="1"/>
  <c r="F276" i="3" a="1"/>
  <c r="F276" i="3" s="1"/>
  <c r="Q276" i="3" s="1"/>
  <c r="F279" i="3" a="1"/>
  <c r="F279" i="3" s="1"/>
  <c r="Q279" i="3" s="1"/>
  <c r="E282" i="3" a="1"/>
  <c r="E282" i="3" s="1"/>
  <c r="P282" i="3" s="1"/>
  <c r="E285" i="3" a="1"/>
  <c r="E285" i="3" s="1"/>
  <c r="P285" i="3" s="1"/>
  <c r="F287" i="3" a="1"/>
  <c r="F287" i="3" s="1"/>
  <c r="Q287" i="3" s="1"/>
  <c r="C291" i="3" a="1"/>
  <c r="C291" i="3" s="1"/>
  <c r="N291" i="3" s="1"/>
  <c r="E293" i="3" a="1"/>
  <c r="E293" i="3" s="1"/>
  <c r="P293" i="3" s="1"/>
  <c r="C296" i="3" a="1"/>
  <c r="C296" i="3" s="1"/>
  <c r="N296" i="3" s="1"/>
  <c r="F298" i="3" a="1"/>
  <c r="F298" i="3" s="1"/>
  <c r="Q298" i="3" s="1"/>
  <c r="D301" i="3" a="1"/>
  <c r="D301" i="3" s="1"/>
  <c r="O301" i="3" s="1"/>
  <c r="F303" i="3" a="1"/>
  <c r="F303" i="3" s="1"/>
  <c r="Q303" i="3" s="1"/>
  <c r="F306" i="3" a="1"/>
  <c r="F306" i="3" s="1"/>
  <c r="Q306" i="3" s="1"/>
  <c r="C209" i="3" a="1"/>
  <c r="C209" i="3" s="1"/>
  <c r="N209" i="3" s="1"/>
  <c r="E220" i="3" a="1"/>
  <c r="E220" i="3" s="1"/>
  <c r="P220" i="3" s="1"/>
  <c r="F229" i="3" a="1"/>
  <c r="F229" i="3" s="1"/>
  <c r="Q229" i="3" s="1"/>
  <c r="E238" i="3" a="1"/>
  <c r="E238" i="3" s="1"/>
  <c r="P238" i="3" s="1"/>
  <c r="F243" i="3" a="1"/>
  <c r="F243" i="3" s="1"/>
  <c r="Q243" i="3" s="1"/>
  <c r="C249" i="3" a="1"/>
  <c r="C249" i="3" s="1"/>
  <c r="N249" i="3" s="1"/>
  <c r="C253" i="3" a="1"/>
  <c r="C253" i="3" s="1"/>
  <c r="N253" i="3" s="1"/>
  <c r="D255" i="3" a="1"/>
  <c r="D255" i="3" s="1"/>
  <c r="O255" i="3" s="1"/>
  <c r="D258" i="3" a="1"/>
  <c r="D258" i="3" s="1"/>
  <c r="O258" i="3" s="1"/>
  <c r="C261" i="3" a="1"/>
  <c r="C261" i="3" s="1"/>
  <c r="N261" i="3" s="1"/>
  <c r="E263" i="3" a="1"/>
  <c r="E263" i="3" s="1"/>
  <c r="P263" i="3" s="1"/>
  <c r="F266" i="3" a="1"/>
  <c r="F266" i="3" s="1"/>
  <c r="Q266" i="3" s="1"/>
  <c r="F268" i="3" a="1"/>
  <c r="F268" i="3" s="1"/>
  <c r="Q268" i="3" s="1"/>
  <c r="E274" i="3" a="1"/>
  <c r="E274" i="3" s="1"/>
  <c r="P274" i="3" s="1"/>
  <c r="C277" i="3" a="1"/>
  <c r="C277" i="3" s="1"/>
  <c r="N277" i="3" s="1"/>
  <c r="D280" i="3" a="1"/>
  <c r="D280" i="3" s="1"/>
  <c r="O280" i="3" s="1"/>
  <c r="F282" i="3" a="1"/>
  <c r="F282" i="3" s="1"/>
  <c r="Q282" i="3" s="1"/>
  <c r="F285" i="3" a="1"/>
  <c r="F285" i="3" s="1"/>
  <c r="Q285" i="3" s="1"/>
  <c r="E288" i="3" a="1"/>
  <c r="E288" i="3" s="1"/>
  <c r="P288" i="3" s="1"/>
  <c r="D291" i="3" a="1"/>
  <c r="D291" i="3" s="1"/>
  <c r="O291" i="3" s="1"/>
  <c r="C294" i="3" a="1"/>
  <c r="C294" i="3" s="1"/>
  <c r="N294" i="3" s="1"/>
  <c r="D296" i="3" a="1"/>
  <c r="D296" i="3" s="1"/>
  <c r="O296" i="3" s="1"/>
  <c r="C299" i="3" a="1"/>
  <c r="C299" i="3" s="1"/>
  <c r="N299" i="3" s="1"/>
  <c r="F301" i="3" a="1"/>
  <c r="F301" i="3" s="1"/>
  <c r="Q301" i="3" s="1"/>
  <c r="C304" i="3" a="1"/>
  <c r="C304" i="3" s="1"/>
  <c r="N304" i="3" s="1"/>
  <c r="D307" i="3" a="1"/>
  <c r="D307" i="3" s="1"/>
  <c r="O307" i="3" s="1"/>
  <c r="D309" i="3" a="1"/>
  <c r="D309" i="3" s="1"/>
  <c r="O309" i="3" s="1"/>
  <c r="F314" i="3" a="1"/>
  <c r="F314" i="3" s="1"/>
  <c r="Q314" i="3" s="1"/>
  <c r="D317" i="3" a="1"/>
  <c r="D317" i="3" s="1"/>
  <c r="O317" i="3" s="1"/>
  <c r="E319" i="3" a="1"/>
  <c r="E319" i="3" s="1"/>
  <c r="P319" i="3" s="1"/>
  <c r="C322" i="3" a="1"/>
  <c r="C322" i="3" s="1"/>
  <c r="N322" i="3" s="1"/>
  <c r="D324" i="3" a="1"/>
  <c r="D324" i="3" s="1"/>
  <c r="O324" i="3" s="1"/>
  <c r="E326" i="3" a="1"/>
  <c r="E326" i="3" s="1"/>
  <c r="P326" i="3" s="1"/>
  <c r="E328" i="3" a="1"/>
  <c r="E328" i="3" s="1"/>
  <c r="P328" i="3" s="1"/>
  <c r="D330" i="3" a="1"/>
  <c r="D330" i="3" s="1"/>
  <c r="O330" i="3" s="1"/>
  <c r="D332" i="3" a="1"/>
  <c r="D332" i="3" s="1"/>
  <c r="O332" i="3" s="1"/>
  <c r="C336" i="3" a="1"/>
  <c r="C336" i="3" s="1"/>
  <c r="N336" i="3" s="1"/>
  <c r="F337" i="3" a="1"/>
  <c r="F337" i="3" s="1"/>
  <c r="Q337" i="3" s="1"/>
  <c r="F339" i="3" a="1"/>
  <c r="F339" i="3" s="1"/>
  <c r="Q339" i="3" s="1"/>
  <c r="F341" i="3" a="1"/>
  <c r="F341" i="3" s="1"/>
  <c r="Q341" i="3" s="1"/>
  <c r="F343" i="3" a="1"/>
  <c r="F343" i="3" s="1"/>
  <c r="Q343" i="3" s="1"/>
  <c r="F345" i="3" a="1"/>
  <c r="F345" i="3" s="1"/>
  <c r="Q345" i="3" s="1"/>
  <c r="F347" i="3" a="1"/>
  <c r="F347" i="3" s="1"/>
  <c r="Q347" i="3" s="1"/>
  <c r="E349" i="3" a="1"/>
  <c r="E349" i="3" s="1"/>
  <c r="P349" i="3" s="1"/>
  <c r="E351" i="3" a="1"/>
  <c r="E351" i="3" s="1"/>
  <c r="P351" i="3" s="1"/>
  <c r="E353" i="3" a="1"/>
  <c r="E353" i="3" s="1"/>
  <c r="P353" i="3" s="1"/>
  <c r="E355" i="3" a="1"/>
  <c r="E355" i="3" s="1"/>
  <c r="P355" i="3" s="1"/>
  <c r="E357" i="3" a="1"/>
  <c r="E357" i="3" s="1"/>
  <c r="P357" i="3" s="1"/>
  <c r="E359" i="3" a="1"/>
  <c r="E359" i="3" s="1"/>
  <c r="P359" i="3" s="1"/>
  <c r="E361" i="3" a="1"/>
  <c r="E361" i="3" s="1"/>
  <c r="P361" i="3" s="1"/>
  <c r="E363" i="3" a="1"/>
  <c r="E363" i="3" s="1"/>
  <c r="P363" i="3" s="1"/>
  <c r="D367" i="3" a="1"/>
  <c r="D367" i="3" s="1"/>
  <c r="O367" i="3" s="1"/>
  <c r="C369" i="3" a="1"/>
  <c r="C369" i="3" s="1"/>
  <c r="N369" i="3" s="1"/>
  <c r="C371" i="3" a="1"/>
  <c r="C371" i="3" s="1"/>
  <c r="N371" i="3" s="1"/>
  <c r="C373" i="3" a="1"/>
  <c r="C373" i="3" s="1"/>
  <c r="N373" i="3" s="1"/>
  <c r="C375" i="3" a="1"/>
  <c r="C375" i="3" s="1"/>
  <c r="N375" i="3" s="1"/>
  <c r="C377" i="3" a="1"/>
  <c r="C377" i="3" s="1"/>
  <c r="N377" i="3" s="1"/>
  <c r="C379" i="3" a="1"/>
  <c r="C379" i="3" s="1"/>
  <c r="N379" i="3" s="1"/>
  <c r="C381" i="3" a="1"/>
  <c r="C381" i="3" s="1"/>
  <c r="N381" i="3" s="1"/>
  <c r="F384" i="3" a="1"/>
  <c r="F384" i="3" s="1"/>
  <c r="Q384" i="3" s="1"/>
  <c r="E386" i="3" a="1"/>
  <c r="E386" i="3" s="1"/>
  <c r="P386" i="3" s="1"/>
  <c r="E388" i="3" a="1"/>
  <c r="E388" i="3" s="1"/>
  <c r="P388" i="3" s="1"/>
  <c r="E390" i="3" a="1"/>
  <c r="E390" i="3" s="1"/>
  <c r="P390" i="3" s="1"/>
  <c r="E392" i="3" a="1"/>
  <c r="E392" i="3" s="1"/>
  <c r="P392" i="3" s="1"/>
  <c r="E394" i="3" a="1"/>
  <c r="E394" i="3" s="1"/>
  <c r="P394" i="3" s="1"/>
  <c r="E396" i="3" a="1"/>
  <c r="E396" i="3" s="1"/>
  <c r="P396" i="3" s="1"/>
  <c r="D398" i="3" a="1"/>
  <c r="D398" i="3" s="1"/>
  <c r="O398" i="3" s="1"/>
  <c r="D400" i="3" a="1"/>
  <c r="D400" i="3" s="1"/>
  <c r="O400" i="3" s="1"/>
  <c r="D402" i="3" a="1"/>
  <c r="D402" i="3" s="1"/>
  <c r="O402" i="3" s="1"/>
  <c r="D404" i="3" a="1"/>
  <c r="D404" i="3" s="1"/>
  <c r="O404" i="3" s="1"/>
  <c r="D406" i="3" a="1"/>
  <c r="D406" i="3" s="1"/>
  <c r="O406" i="3" s="1"/>
  <c r="D408" i="3" a="1"/>
  <c r="D408" i="3" s="1"/>
  <c r="O408" i="3" s="1"/>
  <c r="D410" i="3" a="1"/>
  <c r="D410" i="3" s="1"/>
  <c r="O410" i="3" s="1"/>
  <c r="D412" i="3" a="1"/>
  <c r="D412" i="3" s="1"/>
  <c r="O412" i="3" s="1"/>
  <c r="C414" i="3" a="1"/>
  <c r="C414" i="3" s="1"/>
  <c r="N414" i="3" s="1"/>
  <c r="F415" i="3" a="1"/>
  <c r="F415" i="3" s="1"/>
  <c r="Q415" i="3" s="1"/>
  <c r="F417" i="3" a="1"/>
  <c r="F417" i="3" s="1"/>
  <c r="Q417" i="3" s="1"/>
  <c r="F419" i="3" a="1"/>
  <c r="F419" i="3" s="1"/>
  <c r="Q419" i="3" s="1"/>
  <c r="F421" i="3" a="1"/>
  <c r="F421" i="3" s="1"/>
  <c r="Q421" i="3" s="1"/>
  <c r="F191" i="3" a="1"/>
  <c r="F191" i="3" s="1"/>
  <c r="Q191" i="3" s="1"/>
  <c r="F220" i="3" a="1"/>
  <c r="F220" i="3" s="1"/>
  <c r="Q220" i="3" s="1"/>
  <c r="C230" i="3" a="1"/>
  <c r="C230" i="3" s="1"/>
  <c r="N230" i="3" s="1"/>
  <c r="F238" i="3" a="1"/>
  <c r="F238" i="3" s="1"/>
  <c r="Q238" i="3" s="1"/>
  <c r="E245" i="3" a="1"/>
  <c r="E245" i="3" s="1"/>
  <c r="P245" i="3" s="1"/>
  <c r="D249" i="3" a="1"/>
  <c r="D249" i="3" s="1"/>
  <c r="O249" i="3" s="1"/>
  <c r="D253" i="3" a="1"/>
  <c r="D253" i="3" s="1"/>
  <c r="O253" i="3" s="1"/>
  <c r="F255" i="3" a="1"/>
  <c r="F255" i="3" s="1"/>
  <c r="Q255" i="3" s="1"/>
  <c r="E258" i="3" a="1"/>
  <c r="E258" i="3" s="1"/>
  <c r="P258" i="3" s="1"/>
  <c r="F263" i="3" a="1"/>
  <c r="F263" i="3" s="1"/>
  <c r="Q263" i="3" s="1"/>
  <c r="C267" i="3" a="1"/>
  <c r="C267" i="3" s="1"/>
  <c r="N267" i="3" s="1"/>
  <c r="E269" i="3" a="1"/>
  <c r="E269" i="3" s="1"/>
  <c r="P269" i="3" s="1"/>
  <c r="F271" i="3" a="1"/>
  <c r="F271" i="3" s="1"/>
  <c r="Q271" i="3" s="1"/>
  <c r="C275" i="3" a="1"/>
  <c r="C275" i="3" s="1"/>
  <c r="N275" i="3" s="1"/>
  <c r="D277" i="3" a="1"/>
  <c r="D277" i="3" s="1"/>
  <c r="O277" i="3" s="1"/>
  <c r="E280" i="3" a="1"/>
  <c r="E280" i="3" s="1"/>
  <c r="P280" i="3" s="1"/>
  <c r="E283" i="3" a="1"/>
  <c r="E283" i="3" s="1"/>
  <c r="P283" i="3" s="1"/>
  <c r="C286" i="3" a="1"/>
  <c r="C286" i="3" s="1"/>
  <c r="N286" i="3" s="1"/>
  <c r="C289" i="3" a="1"/>
  <c r="C289" i="3" s="1"/>
  <c r="N289" i="3" s="1"/>
  <c r="E291" i="3" a="1"/>
  <c r="E291" i="3" s="1"/>
  <c r="P291" i="3" s="1"/>
  <c r="D294" i="3" a="1"/>
  <c r="D294" i="3" s="1"/>
  <c r="O294" i="3" s="1"/>
  <c r="F296" i="3" a="1"/>
  <c r="F296" i="3" s="1"/>
  <c r="Q296" i="3" s="1"/>
  <c r="D302" i="3" a="1"/>
  <c r="D302" i="3" s="1"/>
  <c r="O302" i="3" s="1"/>
  <c r="D304" i="3" a="1"/>
  <c r="D304" i="3" s="1"/>
  <c r="O304" i="3" s="1"/>
  <c r="D194" i="3" a="1"/>
  <c r="D194" i="3" s="1"/>
  <c r="O194" i="3" s="1"/>
  <c r="D213" i="3" a="1"/>
  <c r="D213" i="3" s="1"/>
  <c r="O213" i="3" s="1"/>
  <c r="F222" i="3" a="1"/>
  <c r="F222" i="3" s="1"/>
  <c r="Q222" i="3" s="1"/>
  <c r="D239" i="3" a="1"/>
  <c r="D239" i="3" s="1"/>
  <c r="O239" i="3" s="1"/>
  <c r="F245" i="3" a="1"/>
  <c r="F245" i="3" s="1"/>
  <c r="Q245" i="3" s="1"/>
  <c r="F249" i="3" a="1"/>
  <c r="F249" i="3" s="1"/>
  <c r="Q249" i="3" s="1"/>
  <c r="D256" i="3" a="1"/>
  <c r="D256" i="3" s="1"/>
  <c r="O256" i="3" s="1"/>
  <c r="F258" i="3" a="1"/>
  <c r="F258" i="3" s="1"/>
  <c r="Q258" i="3" s="1"/>
  <c r="E261" i="3" a="1"/>
  <c r="E261" i="3" s="1"/>
  <c r="P261" i="3" s="1"/>
  <c r="E264" i="3" a="1"/>
  <c r="E264" i="3" s="1"/>
  <c r="P264" i="3" s="1"/>
  <c r="C270" i="3" a="1"/>
  <c r="C270" i="3" s="1"/>
  <c r="N270" i="3" s="1"/>
  <c r="C272" i="3" a="1"/>
  <c r="C272" i="3" s="1"/>
  <c r="N272" i="3" s="1"/>
  <c r="D275" i="3" a="1"/>
  <c r="D275" i="3" s="1"/>
  <c r="O275" i="3" s="1"/>
  <c r="C278" i="3" a="1"/>
  <c r="C278" i="3" s="1"/>
  <c r="N278" i="3" s="1"/>
  <c r="F283" i="3" a="1"/>
  <c r="F283" i="3" s="1"/>
  <c r="Q283" i="3" s="1"/>
  <c r="D286" i="3" a="1"/>
  <c r="D286" i="3" s="1"/>
  <c r="O286" i="3" s="1"/>
  <c r="D289" i="3" a="1"/>
  <c r="D289" i="3" s="1"/>
  <c r="O289" i="3" s="1"/>
  <c r="C292" i="3" a="1"/>
  <c r="C292" i="3" s="1"/>
  <c r="N292" i="3" s="1"/>
  <c r="E294" i="3" a="1"/>
  <c r="E294" i="3" s="1"/>
  <c r="P294" i="3" s="1"/>
  <c r="D297" i="3" a="1"/>
  <c r="D297" i="3" s="1"/>
  <c r="O297" i="3" s="1"/>
  <c r="D299" i="3" a="1"/>
  <c r="D299" i="3" s="1"/>
  <c r="O299" i="3" s="1"/>
  <c r="C305" i="3" a="1"/>
  <c r="C305" i="3" s="1"/>
  <c r="N305" i="3" s="1"/>
  <c r="D310" i="3" a="1"/>
  <c r="D310" i="3" s="1"/>
  <c r="O310" i="3" s="1"/>
  <c r="E312" i="3" a="1"/>
  <c r="E312" i="3" s="1"/>
  <c r="P312" i="3" s="1"/>
  <c r="E315" i="3" a="1"/>
  <c r="E315" i="3" s="1"/>
  <c r="P315" i="3" s="1"/>
  <c r="F317" i="3" a="1"/>
  <c r="F317" i="3" s="1"/>
  <c r="Q317" i="3" s="1"/>
  <c r="C320" i="3" a="1"/>
  <c r="C320" i="3" s="1"/>
  <c r="N320" i="3" s="1"/>
  <c r="E322" i="3" a="1"/>
  <c r="E322" i="3" s="1"/>
  <c r="P322" i="3" s="1"/>
  <c r="F324" i="3" a="1"/>
  <c r="F324" i="3" s="1"/>
  <c r="Q324" i="3" s="1"/>
  <c r="D196" i="3" a="1"/>
  <c r="D196" i="3" s="1"/>
  <c r="O196" i="3" s="1"/>
  <c r="E213" i="3" a="1"/>
  <c r="E213" i="3" s="1"/>
  <c r="P213" i="3" s="1"/>
  <c r="C223" i="3" a="1"/>
  <c r="C223" i="3" s="1"/>
  <c r="N223" i="3" s="1"/>
  <c r="F231" i="3" a="1"/>
  <c r="F231" i="3" s="1"/>
  <c r="Q231" i="3" s="1"/>
  <c r="F240" i="3" a="1"/>
  <c r="F240" i="3" s="1"/>
  <c r="Q240" i="3" s="1"/>
  <c r="D246" i="3" a="1"/>
  <c r="D246" i="3" s="1"/>
  <c r="O246" i="3" s="1"/>
  <c r="E250" i="3" a="1"/>
  <c r="E250" i="3" s="1"/>
  <c r="P250" i="3" s="1"/>
  <c r="E253" i="3" a="1"/>
  <c r="E253" i="3" s="1"/>
  <c r="P253" i="3" s="1"/>
  <c r="E256" i="3" a="1"/>
  <c r="E256" i="3" s="1"/>
  <c r="P256" i="3" s="1"/>
  <c r="E259" i="3" a="1"/>
  <c r="E259" i="3" s="1"/>
  <c r="P259" i="3" s="1"/>
  <c r="F261" i="3" a="1"/>
  <c r="F261" i="3" s="1"/>
  <c r="Q261" i="3" s="1"/>
  <c r="C265" i="3" a="1"/>
  <c r="C265" i="3" s="1"/>
  <c r="N265" i="3" s="1"/>
  <c r="D267" i="3" a="1"/>
  <c r="D267" i="3" s="1"/>
  <c r="O267" i="3" s="1"/>
  <c r="D270" i="3" a="1"/>
  <c r="D270" i="3" s="1"/>
  <c r="O270" i="3" s="1"/>
  <c r="E275" i="3" a="1"/>
  <c r="E275" i="3" s="1"/>
  <c r="P275" i="3" s="1"/>
  <c r="F280" i="3" a="1"/>
  <c r="F280" i="3" s="1"/>
  <c r="Q280" i="3" s="1"/>
  <c r="C284" i="3" a="1"/>
  <c r="C284" i="3" s="1"/>
  <c r="N284" i="3" s="1"/>
  <c r="F286" i="3" a="1"/>
  <c r="F286" i="3" s="1"/>
  <c r="Q286" i="3" s="1"/>
  <c r="D292" i="3" a="1"/>
  <c r="D292" i="3" s="1"/>
  <c r="O292" i="3" s="1"/>
  <c r="C300" i="3" a="1"/>
  <c r="C300" i="3" s="1"/>
  <c r="N300" i="3" s="1"/>
  <c r="E302" i="3" a="1"/>
  <c r="E302" i="3" s="1"/>
  <c r="P302" i="3" s="1"/>
  <c r="F307" i="3" a="1"/>
  <c r="F307" i="3" s="1"/>
  <c r="Q307" i="3" s="1"/>
  <c r="E310" i="3" a="1"/>
  <c r="E310" i="3" s="1"/>
  <c r="P310" i="3" s="1"/>
  <c r="D313" i="3" a="1"/>
  <c r="D313" i="3" s="1"/>
  <c r="O313" i="3" s="1"/>
  <c r="F315" i="3" a="1"/>
  <c r="F315" i="3" s="1"/>
  <c r="Q315" i="3" s="1"/>
  <c r="C199" i="3" a="1"/>
  <c r="C199" i="3" s="1"/>
  <c r="N199" i="3" s="1"/>
  <c r="F215" i="3" a="1"/>
  <c r="F215" i="3" s="1"/>
  <c r="Q215" i="3" s="1"/>
  <c r="D225" i="3" a="1"/>
  <c r="D225" i="3" s="1"/>
  <c r="O225" i="3" s="1"/>
  <c r="F233" i="3" a="1"/>
  <c r="F233" i="3" s="1"/>
  <c r="Q233" i="3" s="1"/>
  <c r="C241" i="3" a="1"/>
  <c r="C241" i="3" s="1"/>
  <c r="N241" i="3" s="1"/>
  <c r="D247" i="3" a="1"/>
  <c r="D247" i="3" s="1"/>
  <c r="O247" i="3" s="1"/>
  <c r="C251" i="3" a="1"/>
  <c r="C251" i="3" s="1"/>
  <c r="N251" i="3" s="1"/>
  <c r="D254" i="3" a="1"/>
  <c r="D254" i="3" s="1"/>
  <c r="O254" i="3" s="1"/>
  <c r="F259" i="3" a="1"/>
  <c r="F259" i="3" s="1"/>
  <c r="Q259" i="3" s="1"/>
  <c r="C262" i="3" a="1"/>
  <c r="C262" i="3" s="1"/>
  <c r="N262" i="3" s="1"/>
  <c r="D265" i="3" a="1"/>
  <c r="D265" i="3" s="1"/>
  <c r="O265" i="3" s="1"/>
  <c r="F267" i="3" a="1"/>
  <c r="F267" i="3" s="1"/>
  <c r="Q267" i="3" s="1"/>
  <c r="C273" i="3" a="1"/>
  <c r="C273" i="3" s="1"/>
  <c r="N273" i="3" s="1"/>
  <c r="E278" i="3" a="1"/>
  <c r="E278" i="3" s="1"/>
  <c r="P278" i="3" s="1"/>
  <c r="E281" i="3" a="1"/>
  <c r="E281" i="3" s="1"/>
  <c r="P281" i="3" s="1"/>
  <c r="E289" i="3" a="1"/>
  <c r="E289" i="3" s="1"/>
  <c r="P289" i="3" s="1"/>
  <c r="E297" i="3" a="1"/>
  <c r="E297" i="3" s="1"/>
  <c r="P297" i="3" s="1"/>
  <c r="E300" i="3" a="1"/>
  <c r="E300" i="3" s="1"/>
  <c r="P300" i="3" s="1"/>
  <c r="F302" i="3" a="1"/>
  <c r="F302" i="3" s="1"/>
  <c r="Q302" i="3" s="1"/>
  <c r="E305" i="3" a="1"/>
  <c r="E305" i="3" s="1"/>
  <c r="P305" i="3" s="1"/>
  <c r="D308" i="3" a="1"/>
  <c r="D308" i="3" s="1"/>
  <c r="O308" i="3" s="1"/>
  <c r="F310" i="3" a="1"/>
  <c r="F310" i="3" s="1"/>
  <c r="Q310" i="3" s="1"/>
  <c r="F313" i="3" a="1"/>
  <c r="F313" i="3" s="1"/>
  <c r="Q313" i="3" s="1"/>
  <c r="C316" i="3" a="1"/>
  <c r="C316" i="3" s="1"/>
  <c r="N316" i="3" s="1"/>
  <c r="D318" i="3" a="1"/>
  <c r="D318" i="3" s="1"/>
  <c r="O318" i="3" s="1"/>
  <c r="F320" i="3" a="1"/>
  <c r="F320" i="3" s="1"/>
  <c r="Q320" i="3" s="1"/>
  <c r="C323" i="3" a="1"/>
  <c r="C323" i="3" s="1"/>
  <c r="N323" i="3" s="1"/>
  <c r="E325" i="3" a="1"/>
  <c r="E325" i="3" s="1"/>
  <c r="P325" i="3" s="1"/>
  <c r="F327" i="3" a="1"/>
  <c r="F327" i="3" s="1"/>
  <c r="Q327" i="3" s="1"/>
  <c r="F329" i="3" a="1"/>
  <c r="F329" i="3" s="1"/>
  <c r="Q329" i="3" s="1"/>
  <c r="E331" i="3" a="1"/>
  <c r="E331" i="3" s="1"/>
  <c r="P331" i="3" s="1"/>
  <c r="E333" i="3" a="1"/>
  <c r="E333" i="3" s="1"/>
  <c r="P333" i="3" s="1"/>
  <c r="D335" i="3" a="1"/>
  <c r="D335" i="3" s="1"/>
  <c r="O335" i="3" s="1"/>
  <c r="F336" i="3" a="1"/>
  <c r="F336" i="3" s="1"/>
  <c r="Q336" i="3" s="1"/>
  <c r="F338" i="3" a="1"/>
  <c r="F338" i="3" s="1"/>
  <c r="Q338" i="3" s="1"/>
  <c r="F340" i="3" a="1"/>
  <c r="F340" i="3" s="1"/>
  <c r="Q340" i="3" s="1"/>
  <c r="F342" i="3" a="1"/>
  <c r="F342" i="3" s="1"/>
  <c r="Q342" i="3" s="1"/>
  <c r="F344" i="3" a="1"/>
  <c r="F344" i="3" s="1"/>
  <c r="Q344" i="3" s="1"/>
  <c r="F346" i="3" a="1"/>
  <c r="F346" i="3" s="1"/>
  <c r="Q346" i="3" s="1"/>
  <c r="F348" i="3" a="1"/>
  <c r="F348" i="3" s="1"/>
  <c r="Q348" i="3" s="1"/>
  <c r="E350" i="3" a="1"/>
  <c r="E350" i="3" s="1"/>
  <c r="P350" i="3" s="1"/>
  <c r="E352" i="3" a="1"/>
  <c r="E352" i="3" s="1"/>
  <c r="P352" i="3" s="1"/>
  <c r="E354" i="3" a="1"/>
  <c r="E354" i="3" s="1"/>
  <c r="P354" i="3" s="1"/>
  <c r="E356" i="3" a="1"/>
  <c r="E356" i="3" s="1"/>
  <c r="P356" i="3" s="1"/>
  <c r="E358" i="3" a="1"/>
  <c r="E358" i="3" s="1"/>
  <c r="P358" i="3" s="1"/>
  <c r="E360" i="3" a="1"/>
  <c r="E360" i="3" s="1"/>
  <c r="P360" i="3" s="1"/>
  <c r="E362" i="3" a="1"/>
  <c r="E362" i="3" s="1"/>
  <c r="P362" i="3" s="1"/>
  <c r="E364" i="3" a="1"/>
  <c r="E364" i="3" s="1"/>
  <c r="P364" i="3" s="1"/>
  <c r="D366" i="3" a="1"/>
  <c r="D366" i="3" s="1"/>
  <c r="O366" i="3" s="1"/>
  <c r="C368" i="3" a="1"/>
  <c r="C368" i="3" s="1"/>
  <c r="N368" i="3" s="1"/>
  <c r="C370" i="3" a="1"/>
  <c r="C370" i="3" s="1"/>
  <c r="N370" i="3" s="1"/>
  <c r="C372" i="3" a="1"/>
  <c r="C372" i="3" s="1"/>
  <c r="N372" i="3" s="1"/>
  <c r="C374" i="3" a="1"/>
  <c r="C374" i="3" s="1"/>
  <c r="N374" i="3" s="1"/>
  <c r="C376" i="3" a="1"/>
  <c r="C376" i="3" s="1"/>
  <c r="N376" i="3" s="1"/>
  <c r="C378" i="3" a="1"/>
  <c r="C378" i="3" s="1"/>
  <c r="N378" i="3" s="1"/>
  <c r="C380" i="3" a="1"/>
  <c r="C380" i="3" s="1"/>
  <c r="N380" i="3" s="1"/>
  <c r="C382" i="3" a="1"/>
  <c r="C382" i="3" s="1"/>
  <c r="N382" i="3" s="1"/>
  <c r="F383" i="3" a="1"/>
  <c r="F383" i="3" s="1"/>
  <c r="Q383" i="3" s="1"/>
  <c r="F385" i="3" a="1"/>
  <c r="F385" i="3" s="1"/>
  <c r="Q385" i="3" s="1"/>
  <c r="E387" i="3" a="1"/>
  <c r="E387" i="3" s="1"/>
  <c r="P387" i="3" s="1"/>
  <c r="E389" i="3" a="1"/>
  <c r="E389" i="3" s="1"/>
  <c r="P389" i="3" s="1"/>
  <c r="E391" i="3" a="1"/>
  <c r="E391" i="3" s="1"/>
  <c r="P391" i="3" s="1"/>
  <c r="E393" i="3" a="1"/>
  <c r="E393" i="3" s="1"/>
  <c r="P393" i="3" s="1"/>
  <c r="C317" i="3" a="1"/>
  <c r="C317" i="3" s="1"/>
  <c r="N317" i="3" s="1"/>
  <c r="F322" i="3" a="1"/>
  <c r="F322" i="3" s="1"/>
  <c r="Q322" i="3" s="1"/>
  <c r="C327" i="3" a="1"/>
  <c r="C327" i="3" s="1"/>
  <c r="N327" i="3" s="1"/>
  <c r="F334" i="3" a="1"/>
  <c r="F334" i="3" s="1"/>
  <c r="Q334" i="3" s="1"/>
  <c r="C337" i="3" a="1"/>
  <c r="C337" i="3" s="1"/>
  <c r="N337" i="3" s="1"/>
  <c r="E339" i="3" a="1"/>
  <c r="E339" i="3" s="1"/>
  <c r="P339" i="3" s="1"/>
  <c r="D342" i="3" a="1"/>
  <c r="D342" i="3" s="1"/>
  <c r="O342" i="3" s="1"/>
  <c r="C345" i="3" a="1"/>
  <c r="C345" i="3" s="1"/>
  <c r="N345" i="3" s="1"/>
  <c r="E347" i="3" a="1"/>
  <c r="E347" i="3" s="1"/>
  <c r="P347" i="3" s="1"/>
  <c r="C350" i="3" a="1"/>
  <c r="C350" i="3" s="1"/>
  <c r="N350" i="3" s="1"/>
  <c r="F352" i="3" a="1"/>
  <c r="F352" i="3" s="1"/>
  <c r="Q352" i="3" s="1"/>
  <c r="D355" i="3" a="1"/>
  <c r="D355" i="3" s="1"/>
  <c r="O355" i="3" s="1"/>
  <c r="C358" i="3" a="1"/>
  <c r="C358" i="3" s="1"/>
  <c r="N358" i="3" s="1"/>
  <c r="F360" i="3" a="1"/>
  <c r="F360" i="3" s="1"/>
  <c r="Q360" i="3" s="1"/>
  <c r="D363" i="3" a="1"/>
  <c r="D363" i="3" s="1"/>
  <c r="O363" i="3" s="1"/>
  <c r="F365" i="3" a="1"/>
  <c r="F365" i="3" s="1"/>
  <c r="Q365" i="3" s="1"/>
  <c r="D368" i="3" a="1"/>
  <c r="D368" i="3" s="1"/>
  <c r="O368" i="3" s="1"/>
  <c r="F370" i="3" a="1"/>
  <c r="F370" i="3" s="1"/>
  <c r="Q370" i="3" s="1"/>
  <c r="E373" i="3" a="1"/>
  <c r="E373" i="3" s="1"/>
  <c r="P373" i="3" s="1"/>
  <c r="D376" i="3" a="1"/>
  <c r="D376" i="3" s="1"/>
  <c r="O376" i="3" s="1"/>
  <c r="F378" i="3" a="1"/>
  <c r="F378" i="3" s="1"/>
  <c r="Q378" i="3" s="1"/>
  <c r="E381" i="3" a="1"/>
  <c r="E381" i="3" s="1"/>
  <c r="P381" i="3" s="1"/>
  <c r="C384" i="3" a="1"/>
  <c r="C384" i="3" s="1"/>
  <c r="N384" i="3" s="1"/>
  <c r="C389" i="3" a="1"/>
  <c r="C389" i="3" s="1"/>
  <c r="N389" i="3" s="1"/>
  <c r="F391" i="3" a="1"/>
  <c r="F391" i="3" s="1"/>
  <c r="Q391" i="3" s="1"/>
  <c r="D394" i="3" a="1"/>
  <c r="D394" i="3" s="1"/>
  <c r="O394" i="3" s="1"/>
  <c r="F398" i="3" a="1"/>
  <c r="F398" i="3" s="1"/>
  <c r="Q398" i="3" s="1"/>
  <c r="C401" i="3" a="1"/>
  <c r="C401" i="3" s="1"/>
  <c r="N401" i="3" s="1"/>
  <c r="D403" i="3" a="1"/>
  <c r="D403" i="3" s="1"/>
  <c r="O403" i="3" s="1"/>
  <c r="E405" i="3" a="1"/>
  <c r="E405" i="3" s="1"/>
  <c r="P405" i="3" s="1"/>
  <c r="F407" i="3" a="1"/>
  <c r="F407" i="3" s="1"/>
  <c r="Q407" i="3" s="1"/>
  <c r="C410" i="3" a="1"/>
  <c r="C410" i="3" s="1"/>
  <c r="N410" i="3" s="1"/>
  <c r="E412" i="3" a="1"/>
  <c r="E412" i="3" s="1"/>
  <c r="P412" i="3" s="1"/>
  <c r="D414" i="3" a="1"/>
  <c r="D414" i="3" s="1"/>
  <c r="O414" i="3" s="1"/>
  <c r="E416" i="3" a="1"/>
  <c r="E416" i="3" s="1"/>
  <c r="P416" i="3" s="1"/>
  <c r="F418" i="3" a="1"/>
  <c r="F418" i="3" s="1"/>
  <c r="Q418" i="3" s="1"/>
  <c r="C421" i="3" a="1"/>
  <c r="C421" i="3" s="1"/>
  <c r="N421" i="3" s="1"/>
  <c r="D423" i="3" a="1"/>
  <c r="D423" i="3" s="1"/>
  <c r="O423" i="3" s="1"/>
  <c r="D425" i="3" a="1"/>
  <c r="D425" i="3" s="1"/>
  <c r="O425" i="3" s="1"/>
  <c r="D427" i="3" a="1"/>
  <c r="D427" i="3" s="1"/>
  <c r="O427" i="3" s="1"/>
  <c r="D429" i="3" a="1"/>
  <c r="D429" i="3" s="1"/>
  <c r="O429" i="3" s="1"/>
  <c r="D431" i="3" a="1"/>
  <c r="D431" i="3" s="1"/>
  <c r="O431" i="3" s="1"/>
  <c r="C437" i="3" a="1"/>
  <c r="C437" i="3" s="1"/>
  <c r="N437" i="3" s="1"/>
  <c r="C443" i="3" a="1"/>
  <c r="C443" i="3" s="1"/>
  <c r="N443" i="3" s="1"/>
  <c r="F448" i="3" a="1"/>
  <c r="F448" i="3" s="1"/>
  <c r="Q448" i="3" s="1"/>
  <c r="E454" i="3" a="1"/>
  <c r="E454" i="3" s="1"/>
  <c r="P454" i="3" s="1"/>
  <c r="E460" i="3" a="1"/>
  <c r="E460" i="3" s="1"/>
  <c r="P460" i="3" s="1"/>
  <c r="D468" i="3" a="1"/>
  <c r="D468" i="3" s="1"/>
  <c r="O468" i="3" s="1"/>
  <c r="D474" i="3" a="1"/>
  <c r="D474" i="3" s="1"/>
  <c r="O474" i="3" s="1"/>
  <c r="C480" i="3" a="1"/>
  <c r="C480" i="3" s="1"/>
  <c r="N480" i="3" s="1"/>
  <c r="C486" i="3" a="1"/>
  <c r="C486" i="3" s="1"/>
  <c r="N486" i="3" s="1"/>
  <c r="C492" i="3" a="1"/>
  <c r="C492" i="3" s="1"/>
  <c r="N492" i="3" s="1"/>
  <c r="F497" i="3" a="1"/>
  <c r="F497" i="3" s="1"/>
  <c r="Q497" i="3" s="1"/>
  <c r="F386" i="3" a="1"/>
  <c r="F386" i="3" s="1"/>
  <c r="Q386" i="3" s="1"/>
  <c r="C392" i="3" a="1"/>
  <c r="C392" i="3" s="1"/>
  <c r="N392" i="3" s="1"/>
  <c r="F394" i="3" a="1"/>
  <c r="F394" i="3" s="1"/>
  <c r="Q394" i="3" s="1"/>
  <c r="F396" i="3" a="1"/>
  <c r="F396" i="3" s="1"/>
  <c r="Q396" i="3" s="1"/>
  <c r="D401" i="3" a="1"/>
  <c r="D401" i="3" s="1"/>
  <c r="O401" i="3" s="1"/>
  <c r="E403" i="3" a="1"/>
  <c r="E403" i="3" s="1"/>
  <c r="P403" i="3" s="1"/>
  <c r="F405" i="3" a="1"/>
  <c r="F405" i="3" s="1"/>
  <c r="Q405" i="3" s="1"/>
  <c r="C408" i="3" a="1"/>
  <c r="C408" i="3" s="1"/>
  <c r="N408" i="3" s="1"/>
  <c r="E414" i="3" a="1"/>
  <c r="E414" i="3" s="1"/>
  <c r="P414" i="3" s="1"/>
  <c r="F416" i="3" a="1"/>
  <c r="F416" i="3" s="1"/>
  <c r="Q416" i="3" s="1"/>
  <c r="D421" i="3" a="1"/>
  <c r="D421" i="3" s="1"/>
  <c r="O421" i="3" s="1"/>
  <c r="E423" i="3" a="1"/>
  <c r="E423" i="3" s="1"/>
  <c r="P423" i="3" s="1"/>
  <c r="E425" i="3" a="1"/>
  <c r="E425" i="3" s="1"/>
  <c r="P425" i="3" s="1"/>
  <c r="E429" i="3" a="1"/>
  <c r="E429" i="3" s="1"/>
  <c r="P429" i="3" s="1"/>
  <c r="E433" i="3" a="1"/>
  <c r="E433" i="3" s="1"/>
  <c r="P433" i="3" s="1"/>
  <c r="D435" i="3" a="1"/>
  <c r="D435" i="3" s="1"/>
  <c r="O435" i="3" s="1"/>
  <c r="D437" i="3" a="1"/>
  <c r="D437" i="3" s="1"/>
  <c r="O437" i="3" s="1"/>
  <c r="D441" i="3" a="1"/>
  <c r="D441" i="3" s="1"/>
  <c r="O441" i="3" s="1"/>
  <c r="C445" i="3" a="1"/>
  <c r="C445" i="3" s="1"/>
  <c r="N445" i="3" s="1"/>
  <c r="C447" i="3" a="1"/>
  <c r="C447" i="3" s="1"/>
  <c r="N447" i="3" s="1"/>
  <c r="C449" i="3" a="1"/>
  <c r="C449" i="3" s="1"/>
  <c r="N449" i="3" s="1"/>
  <c r="C451" i="3" a="1"/>
  <c r="C451" i="3" s="1"/>
  <c r="N451" i="3" s="1"/>
  <c r="C453" i="3" a="1"/>
  <c r="C453" i="3" s="1"/>
  <c r="N453" i="3" s="1"/>
  <c r="F458" i="3" a="1"/>
  <c r="F458" i="3" s="1"/>
  <c r="Q458" i="3" s="1"/>
  <c r="F460" i="3" a="1"/>
  <c r="F460" i="3" s="1"/>
  <c r="Q460" i="3" s="1"/>
  <c r="E307" i="3" a="1"/>
  <c r="E307" i="3" s="1"/>
  <c r="P307" i="3" s="1"/>
  <c r="E317" i="3" a="1"/>
  <c r="E317" i="3" s="1"/>
  <c r="P317" i="3" s="1"/>
  <c r="D327" i="3" a="1"/>
  <c r="D327" i="3" s="1"/>
  <c r="O327" i="3" s="1"/>
  <c r="C330" i="3" a="1"/>
  <c r="C330" i="3" s="1"/>
  <c r="N330" i="3" s="1"/>
  <c r="F332" i="3" a="1"/>
  <c r="F332" i="3" s="1"/>
  <c r="Q332" i="3" s="1"/>
  <c r="C335" i="3" a="1"/>
  <c r="C335" i="3" s="1"/>
  <c r="N335" i="3" s="1"/>
  <c r="D337" i="3" a="1"/>
  <c r="D337" i="3" s="1"/>
  <c r="O337" i="3" s="1"/>
  <c r="C340" i="3" a="1"/>
  <c r="C340" i="3" s="1"/>
  <c r="N340" i="3" s="1"/>
  <c r="E342" i="3" a="1"/>
  <c r="E342" i="3" s="1"/>
  <c r="P342" i="3" s="1"/>
  <c r="D345" i="3" a="1"/>
  <c r="D345" i="3" s="1"/>
  <c r="O345" i="3" s="1"/>
  <c r="C348" i="3" a="1"/>
  <c r="C348" i="3" s="1"/>
  <c r="N348" i="3" s="1"/>
  <c r="D350" i="3" a="1"/>
  <c r="D350" i="3" s="1"/>
  <c r="O350" i="3" s="1"/>
  <c r="C353" i="3" a="1"/>
  <c r="C353" i="3" s="1"/>
  <c r="N353" i="3" s="1"/>
  <c r="F355" i="3" a="1"/>
  <c r="F355" i="3" s="1"/>
  <c r="Q355" i="3" s="1"/>
  <c r="D358" i="3" a="1"/>
  <c r="D358" i="3" s="1"/>
  <c r="O358" i="3" s="1"/>
  <c r="C361" i="3" a="1"/>
  <c r="C361" i="3" s="1"/>
  <c r="N361" i="3" s="1"/>
  <c r="F363" i="3" a="1"/>
  <c r="F363" i="3" s="1"/>
  <c r="Q363" i="3" s="1"/>
  <c r="C366" i="3" a="1"/>
  <c r="C366" i="3" s="1"/>
  <c r="N366" i="3" s="1"/>
  <c r="E368" i="3" a="1"/>
  <c r="E368" i="3" s="1"/>
  <c r="P368" i="3" s="1"/>
  <c r="D371" i="3" a="1"/>
  <c r="D371" i="3" s="1"/>
  <c r="O371" i="3" s="1"/>
  <c r="F373" i="3" a="1"/>
  <c r="F373" i="3" s="1"/>
  <c r="Q373" i="3" s="1"/>
  <c r="E376" i="3" a="1"/>
  <c r="E376" i="3" s="1"/>
  <c r="P376" i="3" s="1"/>
  <c r="D379" i="3" a="1"/>
  <c r="D379" i="3" s="1"/>
  <c r="O379" i="3" s="1"/>
  <c r="F381" i="3" a="1"/>
  <c r="F381" i="3" s="1"/>
  <c r="Q381" i="3" s="1"/>
  <c r="D384" i="3" a="1"/>
  <c r="D384" i="3" s="1"/>
  <c r="O384" i="3" s="1"/>
  <c r="D389" i="3" a="1"/>
  <c r="D389" i="3" s="1"/>
  <c r="O389" i="3" s="1"/>
  <c r="C399" i="3" a="1"/>
  <c r="C399" i="3" s="1"/>
  <c r="N399" i="3" s="1"/>
  <c r="E410" i="3" a="1"/>
  <c r="E410" i="3" s="1"/>
  <c r="P410" i="3" s="1"/>
  <c r="E427" i="3" a="1"/>
  <c r="E427" i="3" s="1"/>
  <c r="P427" i="3" s="1"/>
  <c r="D439" i="3" a="1"/>
  <c r="D439" i="3" s="1"/>
  <c r="O439" i="3" s="1"/>
  <c r="F454" i="3" a="1"/>
  <c r="F454" i="3" s="1"/>
  <c r="Q454" i="3" s="1"/>
  <c r="C309" i="3" a="1"/>
  <c r="C309" i="3" s="1"/>
  <c r="N309" i="3" s="1"/>
  <c r="C318" i="3" a="1"/>
  <c r="C318" i="3" s="1"/>
  <c r="N318" i="3" s="1"/>
  <c r="E324" i="3" a="1"/>
  <c r="E324" i="3" s="1"/>
  <c r="P324" i="3" s="1"/>
  <c r="C333" i="3" a="1"/>
  <c r="C333" i="3" s="1"/>
  <c r="N333" i="3" s="1"/>
  <c r="E335" i="3" a="1"/>
  <c r="E335" i="3" s="1"/>
  <c r="P335" i="3" s="1"/>
  <c r="E337" i="3" a="1"/>
  <c r="E337" i="3" s="1"/>
  <c r="P337" i="3" s="1"/>
  <c r="D340" i="3" a="1"/>
  <c r="D340" i="3" s="1"/>
  <c r="O340" i="3" s="1"/>
  <c r="C343" i="3" a="1"/>
  <c r="C343" i="3" s="1"/>
  <c r="N343" i="3" s="1"/>
  <c r="E345" i="3" a="1"/>
  <c r="E345" i="3" s="1"/>
  <c r="P345" i="3" s="1"/>
  <c r="D348" i="3" a="1"/>
  <c r="D348" i="3" s="1"/>
  <c r="O348" i="3" s="1"/>
  <c r="F350" i="3" a="1"/>
  <c r="F350" i="3" s="1"/>
  <c r="Q350" i="3" s="1"/>
  <c r="D353" i="3" a="1"/>
  <c r="D353" i="3" s="1"/>
  <c r="O353" i="3" s="1"/>
  <c r="C356" i="3" a="1"/>
  <c r="C356" i="3" s="1"/>
  <c r="N356" i="3" s="1"/>
  <c r="F358" i="3" a="1"/>
  <c r="F358" i="3" s="1"/>
  <c r="Q358" i="3" s="1"/>
  <c r="D361" i="3" a="1"/>
  <c r="D361" i="3" s="1"/>
  <c r="O361" i="3" s="1"/>
  <c r="C364" i="3" a="1"/>
  <c r="C364" i="3" s="1"/>
  <c r="N364" i="3" s="1"/>
  <c r="E366" i="3" a="1"/>
  <c r="E366" i="3" s="1"/>
  <c r="P366" i="3" s="1"/>
  <c r="F368" i="3" a="1"/>
  <c r="F368" i="3" s="1"/>
  <c r="Q368" i="3" s="1"/>
  <c r="E371" i="3" a="1"/>
  <c r="E371" i="3" s="1"/>
  <c r="P371" i="3" s="1"/>
  <c r="D374" i="3" a="1"/>
  <c r="D374" i="3" s="1"/>
  <c r="O374" i="3" s="1"/>
  <c r="F376" i="3" a="1"/>
  <c r="F376" i="3" s="1"/>
  <c r="Q376" i="3" s="1"/>
  <c r="E379" i="3" a="1"/>
  <c r="E379" i="3" s="1"/>
  <c r="P379" i="3" s="1"/>
  <c r="D382" i="3" a="1"/>
  <c r="D382" i="3" s="1"/>
  <c r="O382" i="3" s="1"/>
  <c r="E384" i="3" a="1"/>
  <c r="E384" i="3" s="1"/>
  <c r="P384" i="3" s="1"/>
  <c r="C387" i="3" a="1"/>
  <c r="C387" i="3" s="1"/>
  <c r="N387" i="3" s="1"/>
  <c r="F389" i="3" a="1"/>
  <c r="F389" i="3" s="1"/>
  <c r="Q389" i="3" s="1"/>
  <c r="D392" i="3" a="1"/>
  <c r="D392" i="3" s="1"/>
  <c r="O392" i="3" s="1"/>
  <c r="C395" i="3" a="1"/>
  <c r="C395" i="3" s="1"/>
  <c r="N395" i="3" s="1"/>
  <c r="C397" i="3" a="1"/>
  <c r="C397" i="3" s="1"/>
  <c r="N397" i="3" s="1"/>
  <c r="C310" i="3" a="1"/>
  <c r="C310" i="3" s="1"/>
  <c r="N310" i="3" s="1"/>
  <c r="D319" i="3" a="1"/>
  <c r="D319" i="3" s="1"/>
  <c r="O319" i="3" s="1"/>
  <c r="D325" i="3" a="1"/>
  <c r="D325" i="3" s="1"/>
  <c r="O325" i="3" s="1"/>
  <c r="C328" i="3" a="1"/>
  <c r="C328" i="3" s="1"/>
  <c r="N328" i="3" s="1"/>
  <c r="E330" i="3" a="1"/>
  <c r="E330" i="3" s="1"/>
  <c r="P330" i="3" s="1"/>
  <c r="D333" i="3" a="1"/>
  <c r="D333" i="3" s="1"/>
  <c r="O333" i="3" s="1"/>
  <c r="F335" i="3" a="1"/>
  <c r="F335" i="3" s="1"/>
  <c r="Q335" i="3" s="1"/>
  <c r="C338" i="3" a="1"/>
  <c r="C338" i="3" s="1"/>
  <c r="N338" i="3" s="1"/>
  <c r="E340" i="3" a="1"/>
  <c r="E340" i="3" s="1"/>
  <c r="P340" i="3" s="1"/>
  <c r="D343" i="3" a="1"/>
  <c r="D343" i="3" s="1"/>
  <c r="O343" i="3" s="1"/>
  <c r="C346" i="3" a="1"/>
  <c r="C346" i="3" s="1"/>
  <c r="N346" i="3" s="1"/>
  <c r="E348" i="3" a="1"/>
  <c r="E348" i="3" s="1"/>
  <c r="P348" i="3" s="1"/>
  <c r="C351" i="3" a="1"/>
  <c r="C351" i="3" s="1"/>
  <c r="N351" i="3" s="1"/>
  <c r="F353" i="3" a="1"/>
  <c r="F353" i="3" s="1"/>
  <c r="Q353" i="3" s="1"/>
  <c r="D356" i="3" a="1"/>
  <c r="D356" i="3" s="1"/>
  <c r="O356" i="3" s="1"/>
  <c r="C359" i="3" a="1"/>
  <c r="C359" i="3" s="1"/>
  <c r="N359" i="3" s="1"/>
  <c r="F361" i="3" a="1"/>
  <c r="F361" i="3" s="1"/>
  <c r="Q361" i="3" s="1"/>
  <c r="D364" i="3" a="1"/>
  <c r="D364" i="3" s="1"/>
  <c r="O364" i="3" s="1"/>
  <c r="F366" i="3" a="1"/>
  <c r="F366" i="3" s="1"/>
  <c r="Q366" i="3" s="1"/>
  <c r="D369" i="3" a="1"/>
  <c r="D369" i="3" s="1"/>
  <c r="O369" i="3" s="1"/>
  <c r="F371" i="3" a="1"/>
  <c r="F371" i="3" s="1"/>
  <c r="Q371" i="3" s="1"/>
  <c r="E374" i="3" a="1"/>
  <c r="E374" i="3" s="1"/>
  <c r="P374" i="3" s="1"/>
  <c r="D377" i="3" a="1"/>
  <c r="D377" i="3" s="1"/>
  <c r="O377" i="3" s="1"/>
  <c r="F379" i="3" a="1"/>
  <c r="F379" i="3" s="1"/>
  <c r="Q379" i="3" s="1"/>
  <c r="E382" i="3" a="1"/>
  <c r="E382" i="3" s="1"/>
  <c r="P382" i="3" s="1"/>
  <c r="C385" i="3" a="1"/>
  <c r="C385" i="3" s="1"/>
  <c r="N385" i="3" s="1"/>
  <c r="D387" i="3" a="1"/>
  <c r="D387" i="3" s="1"/>
  <c r="O387" i="3" s="1"/>
  <c r="C390" i="3" a="1"/>
  <c r="C390" i="3" s="1"/>
  <c r="N390" i="3" s="1"/>
  <c r="F392" i="3" a="1"/>
  <c r="F392" i="3" s="1"/>
  <c r="Q392" i="3" s="1"/>
  <c r="D395" i="3" a="1"/>
  <c r="D395" i="3" s="1"/>
  <c r="O395" i="3" s="1"/>
  <c r="D397" i="3" a="1"/>
  <c r="D397" i="3" s="1"/>
  <c r="O397" i="3" s="1"/>
  <c r="E399" i="3" a="1"/>
  <c r="E399" i="3" s="1"/>
  <c r="P399" i="3" s="1"/>
  <c r="F401" i="3" a="1"/>
  <c r="F401" i="3" s="1"/>
  <c r="Q401" i="3" s="1"/>
  <c r="C404" i="3" a="1"/>
  <c r="C404" i="3" s="1"/>
  <c r="N404" i="3" s="1"/>
  <c r="E406" i="3" a="1"/>
  <c r="E406" i="3" s="1"/>
  <c r="P406" i="3" s="1"/>
  <c r="F408" i="3" a="1"/>
  <c r="F408" i="3" s="1"/>
  <c r="Q408" i="3" s="1"/>
  <c r="C411" i="3" a="1"/>
  <c r="C411" i="3" s="1"/>
  <c r="N411" i="3" s="1"/>
  <c r="C413" i="3" a="1"/>
  <c r="C413" i="3" s="1"/>
  <c r="N413" i="3" s="1"/>
  <c r="C415" i="3" a="1"/>
  <c r="C415" i="3" s="1"/>
  <c r="N415" i="3" s="1"/>
  <c r="D417" i="3" a="1"/>
  <c r="D417" i="3" s="1"/>
  <c r="O417" i="3" s="1"/>
  <c r="E419" i="3" a="1"/>
  <c r="E419" i="3" s="1"/>
  <c r="P419" i="3" s="1"/>
  <c r="C422" i="3" a="1"/>
  <c r="C422" i="3" s="1"/>
  <c r="N422" i="3" s="1"/>
  <c r="C424" i="3" a="1"/>
  <c r="C424" i="3" s="1"/>
  <c r="N424" i="3" s="1"/>
  <c r="C426" i="3" a="1"/>
  <c r="C426" i="3" s="1"/>
  <c r="N426" i="3" s="1"/>
  <c r="C428" i="3" a="1"/>
  <c r="C428" i="3" s="1"/>
  <c r="N428" i="3" s="1"/>
  <c r="C430" i="3" a="1"/>
  <c r="C430" i="3" s="1"/>
  <c r="N430" i="3" s="1"/>
  <c r="C432" i="3" a="1"/>
  <c r="C432" i="3" s="1"/>
  <c r="N432" i="3" s="1"/>
  <c r="C434" i="3" a="1"/>
  <c r="C434" i="3" s="1"/>
  <c r="N434" i="3" s="1"/>
  <c r="F435" i="3" a="1"/>
  <c r="F435" i="3" s="1"/>
  <c r="Q435" i="3" s="1"/>
  <c r="F437" i="3" a="1"/>
  <c r="F437" i="3" s="1"/>
  <c r="Q437" i="3" s="1"/>
  <c r="F439" i="3" a="1"/>
  <c r="F439" i="3" s="1"/>
  <c r="Q439" i="3" s="1"/>
  <c r="F441" i="3" a="1"/>
  <c r="F441" i="3" s="1"/>
  <c r="Q441" i="3" s="1"/>
  <c r="F443" i="3" a="1"/>
  <c r="F443" i="3" s="1"/>
  <c r="Q443" i="3" s="1"/>
  <c r="E445" i="3" a="1"/>
  <c r="E445" i="3" s="1"/>
  <c r="P445" i="3" s="1"/>
  <c r="E447" i="3" a="1"/>
  <c r="E447" i="3" s="1"/>
  <c r="P447" i="3" s="1"/>
  <c r="E449" i="3" a="1"/>
  <c r="E449" i="3" s="1"/>
  <c r="P449" i="3" s="1"/>
  <c r="E451" i="3" a="1"/>
  <c r="E451" i="3" s="1"/>
  <c r="P451" i="3" s="1"/>
  <c r="D453" i="3" a="1"/>
  <c r="D453" i="3" s="1"/>
  <c r="O453" i="3" s="1"/>
  <c r="D455" i="3" a="1"/>
  <c r="D455" i="3" s="1"/>
  <c r="O455" i="3" s="1"/>
  <c r="D457" i="3" a="1"/>
  <c r="D457" i="3" s="1"/>
  <c r="O457" i="3" s="1"/>
  <c r="D459" i="3" a="1"/>
  <c r="D459" i="3" s="1"/>
  <c r="O459" i="3" s="1"/>
  <c r="D461" i="3" a="1"/>
  <c r="D461" i="3" s="1"/>
  <c r="O461" i="3" s="1"/>
  <c r="D463" i="3" a="1"/>
  <c r="D463" i="3" s="1"/>
  <c r="O463" i="3" s="1"/>
  <c r="D465" i="3" a="1"/>
  <c r="D465" i="3" s="1"/>
  <c r="O465" i="3" s="1"/>
  <c r="C469" i="3" a="1"/>
  <c r="C469" i="3" s="1"/>
  <c r="N469" i="3" s="1"/>
  <c r="C471" i="3" a="1"/>
  <c r="C471" i="3" s="1"/>
  <c r="N471" i="3" s="1"/>
  <c r="C473" i="3" a="1"/>
  <c r="C473" i="3" s="1"/>
  <c r="N473" i="3" s="1"/>
  <c r="C475" i="3" a="1"/>
  <c r="C475" i="3" s="1"/>
  <c r="N475" i="3" s="1"/>
  <c r="F476" i="3" a="1"/>
  <c r="F476" i="3" s="1"/>
  <c r="Q476" i="3" s="1"/>
  <c r="F478" i="3" a="1"/>
  <c r="F478" i="3" s="1"/>
  <c r="Q478" i="3" s="1"/>
  <c r="F480" i="3" a="1"/>
  <c r="F480" i="3" s="1"/>
  <c r="Q480" i="3" s="1"/>
  <c r="F482" i="3" a="1"/>
  <c r="F482" i="3" s="1"/>
  <c r="Q482" i="3" s="1"/>
  <c r="F484" i="3" a="1"/>
  <c r="F484" i="3" s="1"/>
  <c r="Q484" i="3" s="1"/>
  <c r="F486" i="3" a="1"/>
  <c r="F486" i="3" s="1"/>
  <c r="Q486" i="3" s="1"/>
  <c r="F488" i="3" a="1"/>
  <c r="F488" i="3" s="1"/>
  <c r="Q488" i="3" s="1"/>
  <c r="F490" i="3" a="1"/>
  <c r="F490" i="3" s="1"/>
  <c r="Q490" i="3" s="1"/>
  <c r="F492" i="3" a="1"/>
  <c r="F492" i="3" s="1"/>
  <c r="Q492" i="3" s="1"/>
  <c r="F494" i="3" a="1"/>
  <c r="F494" i="3" s="1"/>
  <c r="Q494" i="3" s="1"/>
  <c r="E498" i="3" a="1"/>
  <c r="E498" i="3" s="1"/>
  <c r="P498" i="3" s="1"/>
  <c r="E3" i="3" a="1"/>
  <c r="E3" i="3" s="1"/>
  <c r="P3" i="3" s="1"/>
  <c r="E463" i="3" a="1"/>
  <c r="E463" i="3" s="1"/>
  <c r="P463" i="3" s="1"/>
  <c r="C312" i="3" a="1"/>
  <c r="C312" i="3" s="1"/>
  <c r="N312" i="3" s="1"/>
  <c r="D328" i="3" a="1"/>
  <c r="D328" i="3" s="1"/>
  <c r="O328" i="3" s="1"/>
  <c r="C331" i="3" a="1"/>
  <c r="C331" i="3" s="1"/>
  <c r="N331" i="3" s="1"/>
  <c r="F333" i="3" a="1"/>
  <c r="F333" i="3" s="1"/>
  <c r="Q333" i="3" s="1"/>
  <c r="D338" i="3" a="1"/>
  <c r="D338" i="3" s="1"/>
  <c r="O338" i="3" s="1"/>
  <c r="C341" i="3" a="1"/>
  <c r="C341" i="3" s="1"/>
  <c r="N341" i="3" s="1"/>
  <c r="E343" i="3" a="1"/>
  <c r="E343" i="3" s="1"/>
  <c r="P343" i="3" s="1"/>
  <c r="D346" i="3" a="1"/>
  <c r="D346" i="3" s="1"/>
  <c r="O346" i="3" s="1"/>
  <c r="C349" i="3" a="1"/>
  <c r="C349" i="3" s="1"/>
  <c r="N349" i="3" s="1"/>
  <c r="D351" i="3" a="1"/>
  <c r="D351" i="3" s="1"/>
  <c r="O351" i="3" s="1"/>
  <c r="C354" i="3" a="1"/>
  <c r="C354" i="3" s="1"/>
  <c r="N354" i="3" s="1"/>
  <c r="F356" i="3" a="1"/>
  <c r="F356" i="3" s="1"/>
  <c r="Q356" i="3" s="1"/>
  <c r="D359" i="3" a="1"/>
  <c r="D359" i="3" s="1"/>
  <c r="O359" i="3" s="1"/>
  <c r="C362" i="3" a="1"/>
  <c r="C362" i="3" s="1"/>
  <c r="N362" i="3" s="1"/>
  <c r="F364" i="3" a="1"/>
  <c r="F364" i="3" s="1"/>
  <c r="Q364" i="3" s="1"/>
  <c r="C367" i="3" a="1"/>
  <c r="C367" i="3" s="1"/>
  <c r="N367" i="3" s="1"/>
  <c r="E369" i="3" a="1"/>
  <c r="E369" i="3" s="1"/>
  <c r="P369" i="3" s="1"/>
  <c r="D372" i="3" a="1"/>
  <c r="D372" i="3" s="1"/>
  <c r="O372" i="3" s="1"/>
  <c r="F374" i="3" a="1"/>
  <c r="F374" i="3" s="1"/>
  <c r="Q374" i="3" s="1"/>
  <c r="E377" i="3" a="1"/>
  <c r="E377" i="3" s="1"/>
  <c r="P377" i="3" s="1"/>
  <c r="D380" i="3" a="1"/>
  <c r="D380" i="3" s="1"/>
  <c r="O380" i="3" s="1"/>
  <c r="F382" i="3" a="1"/>
  <c r="F382" i="3" s="1"/>
  <c r="Q382" i="3" s="1"/>
  <c r="D385" i="3" a="1"/>
  <c r="D385" i="3" s="1"/>
  <c r="O385" i="3" s="1"/>
  <c r="F387" i="3" a="1"/>
  <c r="F387" i="3" s="1"/>
  <c r="Q387" i="3" s="1"/>
  <c r="D390" i="3" a="1"/>
  <c r="D390" i="3" s="1"/>
  <c r="O390" i="3" s="1"/>
  <c r="C393" i="3" a="1"/>
  <c r="C393" i="3" s="1"/>
  <c r="N393" i="3" s="1"/>
  <c r="E395" i="3" a="1"/>
  <c r="E395" i="3" s="1"/>
  <c r="P395" i="3" s="1"/>
  <c r="E397" i="3" a="1"/>
  <c r="E397" i="3" s="1"/>
  <c r="P397" i="3" s="1"/>
  <c r="F399" i="3" a="1"/>
  <c r="F399" i="3" s="1"/>
  <c r="Q399" i="3" s="1"/>
  <c r="C402" i="3" a="1"/>
  <c r="C402" i="3" s="1"/>
  <c r="N402" i="3" s="1"/>
  <c r="E404" i="3" a="1"/>
  <c r="E404" i="3" s="1"/>
  <c r="P404" i="3" s="1"/>
  <c r="F406" i="3" a="1"/>
  <c r="F406" i="3" s="1"/>
  <c r="Q406" i="3" s="1"/>
  <c r="C409" i="3" a="1"/>
  <c r="C409" i="3" s="1"/>
  <c r="N409" i="3" s="1"/>
  <c r="D411" i="3" a="1"/>
  <c r="D411" i="3" s="1"/>
  <c r="O411" i="3" s="1"/>
  <c r="D413" i="3" a="1"/>
  <c r="D413" i="3" s="1"/>
  <c r="O413" i="3" s="1"/>
  <c r="D415" i="3" a="1"/>
  <c r="D415" i="3" s="1"/>
  <c r="O415" i="3" s="1"/>
  <c r="E417" i="3" a="1"/>
  <c r="E417" i="3" s="1"/>
  <c r="P417" i="3" s="1"/>
  <c r="C420" i="3" a="1"/>
  <c r="C420" i="3" s="1"/>
  <c r="N420" i="3" s="1"/>
  <c r="D422" i="3" a="1"/>
  <c r="D422" i="3" s="1"/>
  <c r="O422" i="3" s="1"/>
  <c r="D424" i="3" a="1"/>
  <c r="D424" i="3" s="1"/>
  <c r="O424" i="3" s="1"/>
  <c r="D426" i="3" a="1"/>
  <c r="D426" i="3" s="1"/>
  <c r="O426" i="3" s="1"/>
  <c r="D428" i="3" a="1"/>
  <c r="D428" i="3" s="1"/>
  <c r="O428" i="3" s="1"/>
  <c r="D430" i="3" a="1"/>
  <c r="D430" i="3" s="1"/>
  <c r="O430" i="3" s="1"/>
  <c r="D432" i="3" a="1"/>
  <c r="D432" i="3" s="1"/>
  <c r="O432" i="3" s="1"/>
  <c r="D434" i="3" a="1"/>
  <c r="D434" i="3" s="1"/>
  <c r="O434" i="3" s="1"/>
  <c r="C436" i="3" a="1"/>
  <c r="C436" i="3" s="1"/>
  <c r="N436" i="3" s="1"/>
  <c r="C438" i="3" a="1"/>
  <c r="C438" i="3" s="1"/>
  <c r="N438" i="3" s="1"/>
  <c r="C440" i="3" a="1"/>
  <c r="C440" i="3" s="1"/>
  <c r="N440" i="3" s="1"/>
  <c r="C442" i="3" a="1"/>
  <c r="C442" i="3" s="1"/>
  <c r="N442" i="3" s="1"/>
  <c r="C444" i="3" a="1"/>
  <c r="C444" i="3" s="1"/>
  <c r="N444" i="3" s="1"/>
  <c r="F445" i="3" a="1"/>
  <c r="F445" i="3" s="1"/>
  <c r="Q445" i="3" s="1"/>
  <c r="F447" i="3" a="1"/>
  <c r="F447" i="3" s="1"/>
  <c r="Q447" i="3" s="1"/>
  <c r="F449" i="3" a="1"/>
  <c r="F449" i="3" s="1"/>
  <c r="Q449" i="3" s="1"/>
  <c r="F451" i="3" a="1"/>
  <c r="F451" i="3" s="1"/>
  <c r="Q451" i="3" s="1"/>
  <c r="E453" i="3" a="1"/>
  <c r="E453" i="3" s="1"/>
  <c r="P453" i="3" s="1"/>
  <c r="E455" i="3" a="1"/>
  <c r="E455" i="3" s="1"/>
  <c r="P455" i="3" s="1"/>
  <c r="E457" i="3" a="1"/>
  <c r="E457" i="3" s="1"/>
  <c r="P457" i="3" s="1"/>
  <c r="E459" i="3" a="1"/>
  <c r="E459" i="3" s="1"/>
  <c r="P459" i="3" s="1"/>
  <c r="E461" i="3" a="1"/>
  <c r="E461" i="3" s="1"/>
  <c r="P461" i="3" s="1"/>
  <c r="D312" i="3" a="1"/>
  <c r="D312" i="3" s="1"/>
  <c r="O312" i="3" s="1"/>
  <c r="E320" i="3" a="1"/>
  <c r="E320" i="3" s="1"/>
  <c r="P320" i="3" s="1"/>
  <c r="C326" i="3" a="1"/>
  <c r="C326" i="3" s="1"/>
  <c r="N326" i="3" s="1"/>
  <c r="F328" i="3" a="1"/>
  <c r="F328" i="3" s="1"/>
  <c r="Q328" i="3" s="1"/>
  <c r="D331" i="3" a="1"/>
  <c r="D331" i="3" s="1"/>
  <c r="O331" i="3" s="1"/>
  <c r="C334" i="3" a="1"/>
  <c r="C334" i="3" s="1"/>
  <c r="N334" i="3" s="1"/>
  <c r="D336" i="3" a="1"/>
  <c r="D336" i="3" s="1"/>
  <c r="O336" i="3" s="1"/>
  <c r="E338" i="3" a="1"/>
  <c r="E338" i="3" s="1"/>
  <c r="P338" i="3" s="1"/>
  <c r="D341" i="3" a="1"/>
  <c r="D341" i="3" s="1"/>
  <c r="O341" i="3" s="1"/>
  <c r="C344" i="3" a="1"/>
  <c r="C344" i="3" s="1"/>
  <c r="N344" i="3" s="1"/>
  <c r="E346" i="3" a="1"/>
  <c r="E346" i="3" s="1"/>
  <c r="P346" i="3" s="1"/>
  <c r="D349" i="3" a="1"/>
  <c r="D349" i="3" s="1"/>
  <c r="O349" i="3" s="1"/>
  <c r="F351" i="3" a="1"/>
  <c r="F351" i="3" s="1"/>
  <c r="Q351" i="3" s="1"/>
  <c r="D354" i="3" a="1"/>
  <c r="D354" i="3" s="1"/>
  <c r="O354" i="3" s="1"/>
  <c r="C357" i="3" a="1"/>
  <c r="C357" i="3" s="1"/>
  <c r="N357" i="3" s="1"/>
  <c r="F359" i="3" a="1"/>
  <c r="F359" i="3" s="1"/>
  <c r="Q359" i="3" s="1"/>
  <c r="D362" i="3" a="1"/>
  <c r="D362" i="3" s="1"/>
  <c r="O362" i="3" s="1"/>
  <c r="C365" i="3" a="1"/>
  <c r="C365" i="3" s="1"/>
  <c r="N365" i="3" s="1"/>
  <c r="E367" i="3" a="1"/>
  <c r="E367" i="3" s="1"/>
  <c r="P367" i="3" s="1"/>
  <c r="F369" i="3" a="1"/>
  <c r="F369" i="3" s="1"/>
  <c r="Q369" i="3" s="1"/>
  <c r="E372" i="3" a="1"/>
  <c r="E372" i="3" s="1"/>
  <c r="P372" i="3" s="1"/>
  <c r="D375" i="3" a="1"/>
  <c r="D375" i="3" s="1"/>
  <c r="O375" i="3" s="1"/>
  <c r="F377" i="3" a="1"/>
  <c r="F377" i="3" s="1"/>
  <c r="Q377" i="3" s="1"/>
  <c r="E380" i="3" a="1"/>
  <c r="E380" i="3" s="1"/>
  <c r="P380" i="3" s="1"/>
  <c r="C383" i="3" a="1"/>
  <c r="C383" i="3" s="1"/>
  <c r="N383" i="3" s="1"/>
  <c r="E385" i="3" a="1"/>
  <c r="E385" i="3" s="1"/>
  <c r="P385" i="3" s="1"/>
  <c r="C388" i="3" a="1"/>
  <c r="C388" i="3" s="1"/>
  <c r="N388" i="3" s="1"/>
  <c r="F390" i="3" a="1"/>
  <c r="F390" i="3" s="1"/>
  <c r="Q390" i="3" s="1"/>
  <c r="D393" i="3" a="1"/>
  <c r="D393" i="3" s="1"/>
  <c r="O393" i="3" s="1"/>
  <c r="F395" i="3" a="1"/>
  <c r="F395" i="3" s="1"/>
  <c r="Q395" i="3" s="1"/>
  <c r="F397" i="3" a="1"/>
  <c r="F397" i="3" s="1"/>
  <c r="Q397" i="3" s="1"/>
  <c r="C400" i="3" a="1"/>
  <c r="C400" i="3" s="1"/>
  <c r="N400" i="3" s="1"/>
  <c r="E402" i="3" a="1"/>
  <c r="E402" i="3" s="1"/>
  <c r="P402" i="3" s="1"/>
  <c r="F404" i="3" a="1"/>
  <c r="F404" i="3" s="1"/>
  <c r="Q404" i="3" s="1"/>
  <c r="C407" i="3" a="1"/>
  <c r="C407" i="3" s="1"/>
  <c r="N407" i="3" s="1"/>
  <c r="D314" i="3" a="1"/>
  <c r="D314" i="3" s="1"/>
  <c r="O314" i="3" s="1"/>
  <c r="F321" i="3" a="1"/>
  <c r="F321" i="3" s="1"/>
  <c r="Q321" i="3" s="1"/>
  <c r="D326" i="3" a="1"/>
  <c r="D326" i="3" s="1"/>
  <c r="O326" i="3" s="1"/>
  <c r="C329" i="3" a="1"/>
  <c r="C329" i="3" s="1"/>
  <c r="N329" i="3" s="1"/>
  <c r="F331" i="3" a="1"/>
  <c r="F331" i="3" s="1"/>
  <c r="Q331" i="3" s="1"/>
  <c r="D334" i="3" a="1"/>
  <c r="D334" i="3" s="1"/>
  <c r="O334" i="3" s="1"/>
  <c r="C339" i="3" a="1"/>
  <c r="C339" i="3" s="1"/>
  <c r="N339" i="3" s="1"/>
  <c r="E341" i="3" a="1"/>
  <c r="E341" i="3" s="1"/>
  <c r="P341" i="3" s="1"/>
  <c r="D344" i="3" a="1"/>
  <c r="D344" i="3" s="1"/>
  <c r="O344" i="3" s="1"/>
  <c r="C347" i="3" a="1"/>
  <c r="C347" i="3" s="1"/>
  <c r="N347" i="3" s="1"/>
  <c r="C352" i="3" a="1"/>
  <c r="C352" i="3" s="1"/>
  <c r="N352" i="3" s="1"/>
  <c r="F354" i="3" a="1"/>
  <c r="F354" i="3" s="1"/>
  <c r="Q354" i="3" s="1"/>
  <c r="D357" i="3" a="1"/>
  <c r="D357" i="3" s="1"/>
  <c r="O357" i="3" s="1"/>
  <c r="C360" i="3" a="1"/>
  <c r="C360" i="3" s="1"/>
  <c r="N360" i="3" s="1"/>
  <c r="F362" i="3" a="1"/>
  <c r="F362" i="3" s="1"/>
  <c r="Q362" i="3" s="1"/>
  <c r="D365" i="3" a="1"/>
  <c r="D365" i="3" s="1"/>
  <c r="O365" i="3" s="1"/>
  <c r="D370" i="3" a="1"/>
  <c r="D370" i="3" s="1"/>
  <c r="O370" i="3" s="1"/>
  <c r="F372" i="3" a="1"/>
  <c r="F372" i="3" s="1"/>
  <c r="Q372" i="3" s="1"/>
  <c r="E375" i="3" a="1"/>
  <c r="E375" i="3" s="1"/>
  <c r="P375" i="3" s="1"/>
  <c r="D378" i="3" a="1"/>
  <c r="D378" i="3" s="1"/>
  <c r="O378" i="3" s="1"/>
  <c r="F380" i="3" a="1"/>
  <c r="F380" i="3" s="1"/>
  <c r="Q380" i="3" s="1"/>
  <c r="D383" i="3" a="1"/>
  <c r="D383" i="3" s="1"/>
  <c r="O383" i="3" s="1"/>
  <c r="C386" i="3" a="1"/>
  <c r="C386" i="3" s="1"/>
  <c r="N386" i="3" s="1"/>
  <c r="D388" i="3" a="1"/>
  <c r="D388" i="3" s="1"/>
  <c r="O388" i="3" s="1"/>
  <c r="C391" i="3" a="1"/>
  <c r="C391" i="3" s="1"/>
  <c r="N391" i="3" s="1"/>
  <c r="F393" i="3" a="1"/>
  <c r="F393" i="3" s="1"/>
  <c r="Q393" i="3" s="1"/>
  <c r="C396" i="3" a="1"/>
  <c r="C396" i="3" s="1"/>
  <c r="N396" i="3" s="1"/>
  <c r="C398" i="3" a="1"/>
  <c r="C398" i="3" s="1"/>
  <c r="N398" i="3" s="1"/>
  <c r="E400" i="3" a="1"/>
  <c r="E400" i="3" s="1"/>
  <c r="P400" i="3" s="1"/>
  <c r="F402" i="3" a="1"/>
  <c r="F402" i="3" s="1"/>
  <c r="Q402" i="3" s="1"/>
  <c r="C405" i="3" a="1"/>
  <c r="C405" i="3" s="1"/>
  <c r="N405" i="3" s="1"/>
  <c r="D407" i="3" a="1"/>
  <c r="D407" i="3" s="1"/>
  <c r="O407" i="3" s="1"/>
  <c r="E409" i="3" a="1"/>
  <c r="E409" i="3" s="1"/>
  <c r="P409" i="3" s="1"/>
  <c r="F411" i="3" a="1"/>
  <c r="F411" i="3" s="1"/>
  <c r="Q411" i="3" s="1"/>
  <c r="F413" i="3" a="1"/>
  <c r="F413" i="3" s="1"/>
  <c r="Q413" i="3" s="1"/>
  <c r="C416" i="3" a="1"/>
  <c r="C416" i="3" s="1"/>
  <c r="N416" i="3" s="1"/>
  <c r="D418" i="3" a="1"/>
  <c r="D418" i="3" s="1"/>
  <c r="O418" i="3" s="1"/>
  <c r="D315" i="3" a="1"/>
  <c r="D315" i="3" s="1"/>
  <c r="O315" i="3" s="1"/>
  <c r="F326" i="3" a="1"/>
  <c r="F326" i="3" s="1"/>
  <c r="Q326" i="3" s="1"/>
  <c r="E329" i="3" a="1"/>
  <c r="E329" i="3" s="1"/>
  <c r="P329" i="3" s="1"/>
  <c r="C332" i="3" a="1"/>
  <c r="C332" i="3" s="1"/>
  <c r="N332" i="3" s="1"/>
  <c r="E334" i="3" a="1"/>
  <c r="E334" i="3" s="1"/>
  <c r="P334" i="3" s="1"/>
  <c r="E336" i="3" a="1"/>
  <c r="E336" i="3" s="1"/>
  <c r="P336" i="3" s="1"/>
  <c r="D339" i="3" a="1"/>
  <c r="D339" i="3" s="1"/>
  <c r="O339" i="3" s="1"/>
  <c r="C342" i="3" a="1"/>
  <c r="C342" i="3" s="1"/>
  <c r="N342" i="3" s="1"/>
  <c r="E344" i="3" a="1"/>
  <c r="E344" i="3" s="1"/>
  <c r="P344" i="3" s="1"/>
  <c r="D347" i="3" a="1"/>
  <c r="D347" i="3" s="1"/>
  <c r="O347" i="3" s="1"/>
  <c r="F349" i="3" a="1"/>
  <c r="F349" i="3" s="1"/>
  <c r="Q349" i="3" s="1"/>
  <c r="D352" i="3" a="1"/>
  <c r="D352" i="3" s="1"/>
  <c r="O352" i="3" s="1"/>
  <c r="C355" i="3" a="1"/>
  <c r="C355" i="3" s="1"/>
  <c r="N355" i="3" s="1"/>
  <c r="F357" i="3" a="1"/>
  <c r="F357" i="3" s="1"/>
  <c r="Q357" i="3" s="1"/>
  <c r="D360" i="3" a="1"/>
  <c r="D360" i="3" s="1"/>
  <c r="O360" i="3" s="1"/>
  <c r="C363" i="3" a="1"/>
  <c r="C363" i="3" s="1"/>
  <c r="N363" i="3" s="1"/>
  <c r="E365" i="3" a="1"/>
  <c r="E365" i="3" s="1"/>
  <c r="P365" i="3" s="1"/>
  <c r="F367" i="3" a="1"/>
  <c r="F367" i="3" s="1"/>
  <c r="Q367" i="3" s="1"/>
  <c r="E370" i="3" a="1"/>
  <c r="E370" i="3" s="1"/>
  <c r="P370" i="3" s="1"/>
  <c r="D373" i="3" a="1"/>
  <c r="D373" i="3" s="1"/>
  <c r="O373" i="3" s="1"/>
  <c r="F375" i="3" a="1"/>
  <c r="F375" i="3" s="1"/>
  <c r="Q375" i="3" s="1"/>
  <c r="E378" i="3" a="1"/>
  <c r="E378" i="3" s="1"/>
  <c r="P378" i="3" s="1"/>
  <c r="D381" i="3" a="1"/>
  <c r="D381" i="3" s="1"/>
  <c r="O381" i="3" s="1"/>
  <c r="E383" i="3" a="1"/>
  <c r="E383" i="3" s="1"/>
  <c r="P383" i="3" s="1"/>
  <c r="D386" i="3" a="1"/>
  <c r="D386" i="3" s="1"/>
  <c r="O386" i="3" s="1"/>
  <c r="F388" i="3" a="1"/>
  <c r="F388" i="3" s="1"/>
  <c r="Q388" i="3" s="1"/>
  <c r="D391" i="3" a="1"/>
  <c r="D391" i="3" s="1"/>
  <c r="O391" i="3" s="1"/>
  <c r="C394" i="3" a="1"/>
  <c r="C394" i="3" s="1"/>
  <c r="N394" i="3" s="1"/>
  <c r="D396" i="3" a="1"/>
  <c r="D396" i="3" s="1"/>
  <c r="O396" i="3" s="1"/>
  <c r="E398" i="3" a="1"/>
  <c r="E398" i="3" s="1"/>
  <c r="P398" i="3" s="1"/>
  <c r="F400" i="3" a="1"/>
  <c r="F400" i="3" s="1"/>
  <c r="Q400" i="3" s="1"/>
  <c r="C403" i="3" a="1"/>
  <c r="C403" i="3" s="1"/>
  <c r="N403" i="3" s="1"/>
  <c r="D405" i="3" a="1"/>
  <c r="D405" i="3" s="1"/>
  <c r="O405" i="3" s="1"/>
  <c r="E407" i="3" a="1"/>
  <c r="E407" i="3" s="1"/>
  <c r="P407" i="3" s="1"/>
  <c r="F409" i="3" a="1"/>
  <c r="F409" i="3" s="1"/>
  <c r="Q409" i="3" s="1"/>
  <c r="C412" i="3" a="1"/>
  <c r="C412" i="3" s="1"/>
  <c r="N412" i="3" s="1"/>
  <c r="D416" i="3" a="1"/>
  <c r="D416" i="3" s="1"/>
  <c r="O416" i="3" s="1"/>
  <c r="E418" i="3" a="1"/>
  <c r="E418" i="3" s="1"/>
  <c r="P418" i="3" s="1"/>
  <c r="F420" i="3" a="1"/>
  <c r="F420" i="3" s="1"/>
  <c r="Q420" i="3" s="1"/>
  <c r="C423" i="3" a="1"/>
  <c r="C423" i="3" s="1"/>
  <c r="N423" i="3" s="1"/>
  <c r="C425" i="3" a="1"/>
  <c r="C425" i="3" s="1"/>
  <c r="N425" i="3" s="1"/>
  <c r="C427" i="3" a="1"/>
  <c r="C427" i="3" s="1"/>
  <c r="N427" i="3" s="1"/>
  <c r="C429" i="3" a="1"/>
  <c r="C429" i="3" s="1"/>
  <c r="N429" i="3" s="1"/>
  <c r="C431" i="3" a="1"/>
  <c r="C431" i="3" s="1"/>
  <c r="N431" i="3" s="1"/>
  <c r="C433" i="3" a="1"/>
  <c r="C433" i="3" s="1"/>
  <c r="N433" i="3" s="1"/>
  <c r="C435" i="3" a="1"/>
  <c r="C435" i="3" s="1"/>
  <c r="N435" i="3" s="1"/>
  <c r="F436" i="3" a="1"/>
  <c r="F436" i="3" s="1"/>
  <c r="Q436" i="3" s="1"/>
  <c r="F438" i="3" a="1"/>
  <c r="F438" i="3" s="1"/>
  <c r="Q438" i="3" s="1"/>
  <c r="F440" i="3" a="1"/>
  <c r="F440" i="3" s="1"/>
  <c r="Q440" i="3" s="1"/>
  <c r="F442" i="3" a="1"/>
  <c r="F442" i="3" s="1"/>
  <c r="Q442" i="3" s="1"/>
  <c r="E444" i="3" a="1"/>
  <c r="E444" i="3" s="1"/>
  <c r="P444" i="3" s="1"/>
  <c r="E446" i="3" a="1"/>
  <c r="E446" i="3" s="1"/>
  <c r="P446" i="3" s="1"/>
  <c r="E448" i="3" a="1"/>
  <c r="E448" i="3" s="1"/>
  <c r="P448" i="3" s="1"/>
  <c r="E450" i="3" a="1"/>
  <c r="E450" i="3" s="1"/>
  <c r="P450" i="3" s="1"/>
  <c r="E452" i="3" a="1"/>
  <c r="E452" i="3" s="1"/>
  <c r="P452" i="3" s="1"/>
  <c r="D454" i="3" a="1"/>
  <c r="D454" i="3" s="1"/>
  <c r="O454" i="3" s="1"/>
  <c r="D456" i="3" a="1"/>
  <c r="D456" i="3" s="1"/>
  <c r="O456" i="3" s="1"/>
  <c r="D458" i="3" a="1"/>
  <c r="D458" i="3" s="1"/>
  <c r="O458" i="3" s="1"/>
  <c r="D460" i="3" a="1"/>
  <c r="D460" i="3" s="1"/>
  <c r="O460" i="3" s="1"/>
  <c r="D462" i="3" a="1"/>
  <c r="D462" i="3" s="1"/>
  <c r="O462" i="3" s="1"/>
  <c r="D464" i="3" a="1"/>
  <c r="D464" i="3" s="1"/>
  <c r="O464" i="3" s="1"/>
  <c r="D466" i="3" a="1"/>
  <c r="D466" i="3" s="1"/>
  <c r="O466" i="3" s="1"/>
  <c r="C468" i="3" a="1"/>
  <c r="C468" i="3" s="1"/>
  <c r="N468" i="3" s="1"/>
  <c r="C470" i="3" a="1"/>
  <c r="C470" i="3" s="1"/>
  <c r="N470" i="3" s="1"/>
  <c r="C472" i="3" a="1"/>
  <c r="C472" i="3" s="1"/>
  <c r="N472" i="3" s="1"/>
  <c r="C474" i="3" a="1"/>
  <c r="C474" i="3" s="1"/>
  <c r="N474" i="3" s="1"/>
  <c r="C476" i="3" a="1"/>
  <c r="C476" i="3" s="1"/>
  <c r="N476" i="3" s="1"/>
  <c r="F477" i="3" a="1"/>
  <c r="F477" i="3" s="1"/>
  <c r="Q477" i="3" s="1"/>
  <c r="F479" i="3" a="1"/>
  <c r="F479" i="3" s="1"/>
  <c r="Q479" i="3" s="1"/>
  <c r="F481" i="3" a="1"/>
  <c r="F481" i="3" s="1"/>
  <c r="Q481" i="3" s="1"/>
  <c r="F483" i="3" a="1"/>
  <c r="F483" i="3" s="1"/>
  <c r="Q483" i="3" s="1"/>
  <c r="F485" i="3" a="1"/>
  <c r="F485" i="3" s="1"/>
  <c r="Q485" i="3" s="1"/>
  <c r="F487" i="3" a="1"/>
  <c r="F487" i="3" s="1"/>
  <c r="Q487" i="3" s="1"/>
  <c r="F489" i="3" a="1"/>
  <c r="F489" i="3" s="1"/>
  <c r="Q489" i="3" s="1"/>
  <c r="F491" i="3" a="1"/>
  <c r="F491" i="3" s="1"/>
  <c r="Q491" i="3" s="1"/>
  <c r="F493" i="3" a="1"/>
  <c r="F493" i="3" s="1"/>
  <c r="Q493" i="3" s="1"/>
  <c r="F495" i="3" a="1"/>
  <c r="F495" i="3" s="1"/>
  <c r="Q495" i="3" s="1"/>
  <c r="E497" i="3" a="1"/>
  <c r="E497" i="3" s="1"/>
  <c r="P497" i="3" s="1"/>
  <c r="E499" i="3" a="1"/>
  <c r="E499" i="3" s="1"/>
  <c r="P499" i="3" s="1"/>
  <c r="D433" i="3" a="1"/>
  <c r="D433" i="3" s="1"/>
  <c r="O433" i="3" s="1"/>
  <c r="C439" i="3" a="1"/>
  <c r="C439" i="3" s="1"/>
  <c r="N439" i="3" s="1"/>
  <c r="C441" i="3" a="1"/>
  <c r="C441" i="3" s="1"/>
  <c r="N441" i="3" s="1"/>
  <c r="F444" i="3" a="1"/>
  <c r="F444" i="3" s="1"/>
  <c r="Q444" i="3" s="1"/>
  <c r="F446" i="3" a="1"/>
  <c r="F446" i="3" s="1"/>
  <c r="Q446" i="3" s="1"/>
  <c r="F450" i="3" a="1"/>
  <c r="F450" i="3" s="1"/>
  <c r="Q450" i="3" s="1"/>
  <c r="F452" i="3" a="1"/>
  <c r="F452" i="3" s="1"/>
  <c r="Q452" i="3" s="1"/>
  <c r="E456" i="3" a="1"/>
  <c r="E456" i="3" s="1"/>
  <c r="P456" i="3" s="1"/>
  <c r="E458" i="3" a="1"/>
  <c r="E458" i="3" s="1"/>
  <c r="P458" i="3" s="1"/>
  <c r="E462" i="3" a="1"/>
  <c r="E462" i="3" s="1"/>
  <c r="P462" i="3" s="1"/>
  <c r="E464" i="3" a="1"/>
  <c r="E464" i="3" s="1"/>
  <c r="P464" i="3" s="1"/>
  <c r="E466" i="3" a="1"/>
  <c r="E466" i="3" s="1"/>
  <c r="P466" i="3" s="1"/>
  <c r="D470" i="3" a="1"/>
  <c r="D470" i="3" s="1"/>
  <c r="O470" i="3" s="1"/>
  <c r="D472" i="3" a="1"/>
  <c r="D472" i="3" s="1"/>
  <c r="O472" i="3" s="1"/>
  <c r="D476" i="3" a="1"/>
  <c r="D476" i="3" s="1"/>
  <c r="O476" i="3" s="1"/>
  <c r="C478" i="3" a="1"/>
  <c r="C478" i="3" s="1"/>
  <c r="N478" i="3" s="1"/>
  <c r="C482" i="3" a="1"/>
  <c r="C482" i="3" s="1"/>
  <c r="N482" i="3" s="1"/>
  <c r="C484" i="3" a="1"/>
  <c r="C484" i="3" s="1"/>
  <c r="N484" i="3" s="1"/>
  <c r="C488" i="3" a="1"/>
  <c r="C488" i="3" s="1"/>
  <c r="N488" i="3" s="1"/>
  <c r="C490" i="3" a="1"/>
  <c r="C490" i="3" s="1"/>
  <c r="N490" i="3" s="1"/>
  <c r="C494" i="3" a="1"/>
  <c r="C494" i="3" s="1"/>
  <c r="N494" i="3" s="1"/>
  <c r="C496" i="3" a="1"/>
  <c r="C496" i="3" s="1"/>
  <c r="N496" i="3" s="1"/>
  <c r="C419" i="3" a="1"/>
  <c r="C419" i="3" s="1"/>
  <c r="N419" i="3" s="1"/>
  <c r="E431" i="3" a="1"/>
  <c r="E431" i="3" s="1"/>
  <c r="P431" i="3" s="1"/>
  <c r="D443" i="3" a="1"/>
  <c r="D443" i="3" s="1"/>
  <c r="O443" i="3" s="1"/>
  <c r="F456" i="3" a="1"/>
  <c r="F456" i="3" s="1"/>
  <c r="Q456" i="3" s="1"/>
  <c r="E411" i="3" a="1"/>
  <c r="E411" i="3" s="1"/>
  <c r="P411" i="3" s="1"/>
  <c r="D420" i="3" a="1"/>
  <c r="D420" i="3" s="1"/>
  <c r="O420" i="3" s="1"/>
  <c r="F425" i="3" a="1"/>
  <c r="F425" i="3" s="1"/>
  <c r="Q425" i="3" s="1"/>
  <c r="F430" i="3" a="1"/>
  <c r="F430" i="3" s="1"/>
  <c r="Q430" i="3" s="1"/>
  <c r="D436" i="3" a="1"/>
  <c r="D436" i="3" s="1"/>
  <c r="O436" i="3" s="1"/>
  <c r="E441" i="3" a="1"/>
  <c r="E441" i="3" s="1"/>
  <c r="P441" i="3" s="1"/>
  <c r="D446" i="3" a="1"/>
  <c r="D446" i="3" s="1"/>
  <c r="O446" i="3" s="1"/>
  <c r="C452" i="3" a="1"/>
  <c r="C452" i="3" s="1"/>
  <c r="N452" i="3" s="1"/>
  <c r="C457" i="3" a="1"/>
  <c r="C457" i="3" s="1"/>
  <c r="N457" i="3" s="1"/>
  <c r="C462" i="3" a="1"/>
  <c r="C462" i="3" s="1"/>
  <c r="N462" i="3" s="1"/>
  <c r="F465" i="3" a="1"/>
  <c r="F465" i="3" s="1"/>
  <c r="Q465" i="3" s="1"/>
  <c r="F468" i="3" a="1"/>
  <c r="F468" i="3" s="1"/>
  <c r="Q468" i="3" s="1"/>
  <c r="F471" i="3" a="1"/>
  <c r="F471" i="3" s="1"/>
  <c r="Q471" i="3" s="1"/>
  <c r="D475" i="3" a="1"/>
  <c r="D475" i="3" s="1"/>
  <c r="O475" i="3" s="1"/>
  <c r="D478" i="3" a="1"/>
  <c r="D478" i="3" s="1"/>
  <c r="O478" i="3" s="1"/>
  <c r="D481" i="3" a="1"/>
  <c r="D481" i="3" s="1"/>
  <c r="O481" i="3" s="1"/>
  <c r="E484" i="3" a="1"/>
  <c r="E484" i="3" s="1"/>
  <c r="P484" i="3" s="1"/>
  <c r="E487" i="3" a="1"/>
  <c r="E487" i="3" s="1"/>
  <c r="P487" i="3" s="1"/>
  <c r="C491" i="3" a="1"/>
  <c r="C491" i="3" s="1"/>
  <c r="N491" i="3" s="1"/>
  <c r="D494" i="3" a="1"/>
  <c r="D494" i="3" s="1"/>
  <c r="O494" i="3" s="1"/>
  <c r="C497" i="3" a="1"/>
  <c r="C497" i="3" s="1"/>
  <c r="N497" i="3" s="1"/>
  <c r="F3" i="3" a="1"/>
  <c r="F3" i="3" s="1"/>
  <c r="Q3" i="3" s="1"/>
  <c r="E436" i="3" a="1"/>
  <c r="E436" i="3" s="1"/>
  <c r="P436" i="3" s="1"/>
  <c r="D442" i="3" a="1"/>
  <c r="D442" i="3" s="1"/>
  <c r="O442" i="3" s="1"/>
  <c r="D447" i="3" a="1"/>
  <c r="D447" i="3" s="1"/>
  <c r="O447" i="3" s="1"/>
  <c r="F457" i="3" a="1"/>
  <c r="F457" i="3" s="1"/>
  <c r="Q457" i="3" s="1"/>
  <c r="F462" i="3" a="1"/>
  <c r="F462" i="3" s="1"/>
  <c r="Q462" i="3" s="1"/>
  <c r="C466" i="3" a="1"/>
  <c r="C466" i="3" s="1"/>
  <c r="N466" i="3" s="1"/>
  <c r="D469" i="3" a="1"/>
  <c r="D469" i="3" s="1"/>
  <c r="O469" i="3" s="1"/>
  <c r="E472" i="3" a="1"/>
  <c r="E472" i="3" s="1"/>
  <c r="P472" i="3" s="1"/>
  <c r="E475" i="3" a="1"/>
  <c r="E475" i="3" s="1"/>
  <c r="P475" i="3" s="1"/>
  <c r="E478" i="3" a="1"/>
  <c r="E478" i="3" s="1"/>
  <c r="P478" i="3" s="1"/>
  <c r="E481" i="3" a="1"/>
  <c r="E481" i="3" s="1"/>
  <c r="P481" i="3" s="1"/>
  <c r="C485" i="3" a="1"/>
  <c r="C485" i="3" s="1"/>
  <c r="N485" i="3" s="1"/>
  <c r="D488" i="3" a="1"/>
  <c r="D488" i="3" s="1"/>
  <c r="O488" i="3" s="1"/>
  <c r="E494" i="3" a="1"/>
  <c r="E494" i="3" s="1"/>
  <c r="P494" i="3" s="1"/>
  <c r="D497" i="3" a="1"/>
  <c r="D497" i="3" s="1"/>
  <c r="O497" i="3" s="1"/>
  <c r="D3" i="3" a="1"/>
  <c r="D3" i="3" s="1"/>
  <c r="O3" i="3" s="1"/>
  <c r="C458" i="3" a="1"/>
  <c r="C458" i="3" s="1"/>
  <c r="N458" i="3" s="1"/>
  <c r="C463" i="3" a="1"/>
  <c r="C463" i="3" s="1"/>
  <c r="N463" i="3" s="1"/>
  <c r="F466" i="3" a="1"/>
  <c r="F466" i="3" s="1"/>
  <c r="Q466" i="3" s="1"/>
  <c r="F472" i="3" a="1"/>
  <c r="F472" i="3" s="1"/>
  <c r="Q472" i="3" s="1"/>
  <c r="C479" i="3" a="1"/>
  <c r="C479" i="3" s="1"/>
  <c r="N479" i="3" s="1"/>
  <c r="D482" i="3" a="1"/>
  <c r="D482" i="3" s="1"/>
  <c r="O482" i="3" s="1"/>
  <c r="D485" i="3" a="1"/>
  <c r="D485" i="3" s="1"/>
  <c r="O485" i="3" s="1"/>
  <c r="E488" i="3" a="1"/>
  <c r="E488" i="3" s="1"/>
  <c r="P488" i="3" s="1"/>
  <c r="C495" i="3" a="1"/>
  <c r="C495" i="3" s="1"/>
  <c r="N495" i="3" s="1"/>
  <c r="C3" i="3" a="1"/>
  <c r="C3" i="3" s="1"/>
  <c r="N3" i="3" s="1"/>
  <c r="F499" i="3" a="1"/>
  <c r="F499" i="3" s="1"/>
  <c r="Q499" i="3" s="1"/>
  <c r="D399" i="3" a="1"/>
  <c r="D399" i="3" s="1"/>
  <c r="O399" i="3" s="1"/>
  <c r="F412" i="3" a="1"/>
  <c r="F412" i="3" s="1"/>
  <c r="Q412" i="3" s="1"/>
  <c r="E420" i="3" a="1"/>
  <c r="E420" i="3" s="1"/>
  <c r="P420" i="3" s="1"/>
  <c r="E426" i="3" a="1"/>
  <c r="E426" i="3" s="1"/>
  <c r="P426" i="3" s="1"/>
  <c r="F431" i="3" a="1"/>
  <c r="F431" i="3" s="1"/>
  <c r="Q431" i="3" s="1"/>
  <c r="D452" i="3" a="1"/>
  <c r="D452" i="3" s="1"/>
  <c r="O452" i="3" s="1"/>
  <c r="D491" i="3" a="1"/>
  <c r="D491" i="3" s="1"/>
  <c r="O491" i="3" s="1"/>
  <c r="E469" i="3" a="1"/>
  <c r="E469" i="3" s="1"/>
  <c r="P469" i="3" s="1"/>
  <c r="E491" i="3" a="1"/>
  <c r="E491" i="3" s="1"/>
  <c r="P491" i="3" s="1"/>
  <c r="E401" i="3" a="1"/>
  <c r="E401" i="3" s="1"/>
  <c r="P401" i="3" s="1"/>
  <c r="E413" i="3" a="1"/>
  <c r="E413" i="3" s="1"/>
  <c r="P413" i="3" s="1"/>
  <c r="E421" i="3" a="1"/>
  <c r="E421" i="3" s="1"/>
  <c r="P421" i="3" s="1"/>
  <c r="F426" i="3" a="1"/>
  <c r="F426" i="3" s="1"/>
  <c r="Q426" i="3" s="1"/>
  <c r="E432" i="3" a="1"/>
  <c r="E432" i="3" s="1"/>
  <c r="P432" i="3" s="1"/>
  <c r="E437" i="3" a="1"/>
  <c r="E437" i="3" s="1"/>
  <c r="P437" i="3" s="1"/>
  <c r="E442" i="3" a="1"/>
  <c r="E442" i="3" s="1"/>
  <c r="P442" i="3" s="1"/>
  <c r="C448" i="3" a="1"/>
  <c r="C448" i="3" s="1"/>
  <c r="N448" i="3" s="1"/>
  <c r="F475" i="3" a="1"/>
  <c r="F475" i="3" s="1"/>
  <c r="Q475" i="3" s="1"/>
  <c r="C498" i="3" a="1"/>
  <c r="C498" i="3" s="1"/>
  <c r="N498" i="3" s="1"/>
  <c r="F403" i="3" a="1"/>
  <c r="F403" i="3" s="1"/>
  <c r="Q403" i="3" s="1"/>
  <c r="F414" i="3" a="1"/>
  <c r="F414" i="3" s="1"/>
  <c r="Q414" i="3" s="1"/>
  <c r="E422" i="3" a="1"/>
  <c r="E422" i="3" s="1"/>
  <c r="P422" i="3" s="1"/>
  <c r="F427" i="3" a="1"/>
  <c r="F427" i="3" s="1"/>
  <c r="Q427" i="3" s="1"/>
  <c r="F432" i="3" a="1"/>
  <c r="F432" i="3" s="1"/>
  <c r="Q432" i="3" s="1"/>
  <c r="D438" i="3" a="1"/>
  <c r="D438" i="3" s="1"/>
  <c r="O438" i="3" s="1"/>
  <c r="E443" i="3" a="1"/>
  <c r="E443" i="3" s="1"/>
  <c r="P443" i="3" s="1"/>
  <c r="D448" i="3" a="1"/>
  <c r="D448" i="3" s="1"/>
  <c r="O448" i="3" s="1"/>
  <c r="F453" i="3" a="1"/>
  <c r="F453" i="3" s="1"/>
  <c r="Q453" i="3" s="1"/>
  <c r="C459" i="3" a="1"/>
  <c r="C459" i="3" s="1"/>
  <c r="N459" i="3" s="1"/>
  <c r="F463" i="3" a="1"/>
  <c r="F463" i="3" s="1"/>
  <c r="Q463" i="3" s="1"/>
  <c r="C467" i="3" a="1"/>
  <c r="C467" i="3" s="1"/>
  <c r="N467" i="3" s="1"/>
  <c r="F469" i="3" a="1"/>
  <c r="F469" i="3" s="1"/>
  <c r="Q469" i="3" s="1"/>
  <c r="D473" i="3" a="1"/>
  <c r="D473" i="3" s="1"/>
  <c r="O473" i="3" s="1"/>
  <c r="E476" i="3" a="1"/>
  <c r="E476" i="3" s="1"/>
  <c r="P476" i="3" s="1"/>
  <c r="D479" i="3" a="1"/>
  <c r="D479" i="3" s="1"/>
  <c r="O479" i="3" s="1"/>
  <c r="E482" i="3" a="1"/>
  <c r="E482" i="3" s="1"/>
  <c r="P482" i="3" s="1"/>
  <c r="E485" i="3" a="1"/>
  <c r="E485" i="3" s="1"/>
  <c r="P485" i="3" s="1"/>
  <c r="C489" i="3" a="1"/>
  <c r="C489" i="3" s="1"/>
  <c r="N489" i="3" s="1"/>
  <c r="D492" i="3" a="1"/>
  <c r="D492" i="3" s="1"/>
  <c r="O492" i="3" s="1"/>
  <c r="D495" i="3" a="1"/>
  <c r="D495" i="3" s="1"/>
  <c r="O495" i="3" s="1"/>
  <c r="D498" i="3" a="1"/>
  <c r="D498" i="3" s="1"/>
  <c r="O498" i="3" s="1"/>
  <c r="D449" i="3" a="1"/>
  <c r="D449" i="3" s="1"/>
  <c r="O449" i="3" s="1"/>
  <c r="C454" i="3" a="1"/>
  <c r="C454" i="3" s="1"/>
  <c r="N454" i="3" s="1"/>
  <c r="F459" i="3" a="1"/>
  <c r="F459" i="3" s="1"/>
  <c r="Q459" i="3" s="1"/>
  <c r="D467" i="3" a="1"/>
  <c r="D467" i="3" s="1"/>
  <c r="O467" i="3" s="1"/>
  <c r="E470" i="3" a="1"/>
  <c r="E470" i="3" s="1"/>
  <c r="P470" i="3" s="1"/>
  <c r="E473" i="3" a="1"/>
  <c r="E473" i="3" s="1"/>
  <c r="P473" i="3" s="1"/>
  <c r="E479" i="3" a="1"/>
  <c r="E479" i="3" s="1"/>
  <c r="P479" i="3" s="1"/>
  <c r="D486" i="3" a="1"/>
  <c r="D486" i="3" s="1"/>
  <c r="O486" i="3" s="1"/>
  <c r="D489" i="3" a="1"/>
  <c r="D489" i="3" s="1"/>
  <c r="O489" i="3" s="1"/>
  <c r="E492" i="3" a="1"/>
  <c r="E492" i="3" s="1"/>
  <c r="P492" i="3" s="1"/>
  <c r="F498" i="3" a="1"/>
  <c r="F498" i="3" s="1"/>
  <c r="Q498" i="3" s="1"/>
  <c r="F470" i="3" a="1"/>
  <c r="F470" i="3" s="1"/>
  <c r="Q470" i="3" s="1"/>
  <c r="C477" i="3" a="1"/>
  <c r="C477" i="3" s="1"/>
  <c r="N477" i="3" s="1"/>
  <c r="D480" i="3" a="1"/>
  <c r="D480" i="3" s="1"/>
  <c r="O480" i="3" s="1"/>
  <c r="E486" i="3" a="1"/>
  <c r="E486" i="3" s="1"/>
  <c r="P486" i="3" s="1"/>
  <c r="C493" i="3" a="1"/>
  <c r="C493" i="3" s="1"/>
  <c r="N493" i="3" s="1"/>
  <c r="D496" i="3" a="1"/>
  <c r="D496" i="3" s="1"/>
  <c r="O496" i="3" s="1"/>
  <c r="C499" i="3" a="1"/>
  <c r="C499" i="3" s="1"/>
  <c r="N499" i="3" s="1"/>
  <c r="E474" i="3" a="1"/>
  <c r="E474" i="3" s="1"/>
  <c r="P474" i="3" s="1"/>
  <c r="E483" i="3" a="1"/>
  <c r="E483" i="3" s="1"/>
  <c r="P483" i="3" s="1"/>
  <c r="C487" i="3" a="1"/>
  <c r="C487" i="3" s="1"/>
  <c r="N487" i="3" s="1"/>
  <c r="D490" i="3" a="1"/>
  <c r="D490" i="3" s="1"/>
  <c r="O490" i="3" s="1"/>
  <c r="E496" i="3" a="1"/>
  <c r="E496" i="3" s="1"/>
  <c r="P496" i="3" s="1"/>
  <c r="F474" i="3" a="1"/>
  <c r="F474" i="3" s="1"/>
  <c r="Q474" i="3" s="1"/>
  <c r="C481" i="3" a="1"/>
  <c r="C481" i="3" s="1"/>
  <c r="N481" i="3" s="1"/>
  <c r="D487" i="3" a="1"/>
  <c r="D487" i="3" s="1"/>
  <c r="O487" i="3" s="1"/>
  <c r="F496" i="3" a="1"/>
  <c r="F496" i="3" s="1"/>
  <c r="Q496" i="3" s="1"/>
  <c r="C406" i="3" a="1"/>
  <c r="C406" i="3" s="1"/>
  <c r="N406" i="3" s="1"/>
  <c r="E415" i="3" a="1"/>
  <c r="E415" i="3" s="1"/>
  <c r="P415" i="3" s="1"/>
  <c r="F422" i="3" a="1"/>
  <c r="F422" i="3" s="1"/>
  <c r="Q422" i="3" s="1"/>
  <c r="E428" i="3" a="1"/>
  <c r="E428" i="3" s="1"/>
  <c r="P428" i="3" s="1"/>
  <c r="F433" i="3" a="1"/>
  <c r="F433" i="3" s="1"/>
  <c r="Q433" i="3" s="1"/>
  <c r="E438" i="3" a="1"/>
  <c r="E438" i="3" s="1"/>
  <c r="P438" i="3" s="1"/>
  <c r="C464" i="3" a="1"/>
  <c r="C464" i="3" s="1"/>
  <c r="N464" i="3" s="1"/>
  <c r="C483" i="3" a="1"/>
  <c r="C483" i="3" s="1"/>
  <c r="N483" i="3" s="1"/>
  <c r="E495" i="3" a="1"/>
  <c r="E495" i="3" s="1"/>
  <c r="P495" i="3" s="1"/>
  <c r="D483" i="3" a="1"/>
  <c r="D483" i="3" s="1"/>
  <c r="O483" i="3" s="1"/>
  <c r="D471" i="3" a="1"/>
  <c r="D471" i="3" s="1"/>
  <c r="O471" i="3" s="1"/>
  <c r="D493" i="3" a="1"/>
  <c r="D493" i="3" s="1"/>
  <c r="O493" i="3" s="1"/>
  <c r="D484" i="3" a="1"/>
  <c r="D484" i="3" s="1"/>
  <c r="O484" i="3" s="1"/>
  <c r="E408" i="3" a="1"/>
  <c r="E408" i="3" s="1"/>
  <c r="P408" i="3" s="1"/>
  <c r="C417" i="3" a="1"/>
  <c r="C417" i="3" s="1"/>
  <c r="N417" i="3" s="1"/>
  <c r="F423" i="3" a="1"/>
  <c r="F423" i="3" s="1"/>
  <c r="Q423" i="3" s="1"/>
  <c r="F428" i="3" a="1"/>
  <c r="F428" i="3" s="1"/>
  <c r="Q428" i="3" s="1"/>
  <c r="E434" i="3" a="1"/>
  <c r="E434" i="3" s="1"/>
  <c r="P434" i="3" s="1"/>
  <c r="E439" i="3" a="1"/>
  <c r="E439" i="3" s="1"/>
  <c r="P439" i="3" s="1"/>
  <c r="D444" i="3" a="1"/>
  <c r="D444" i="3" s="1"/>
  <c r="O444" i="3" s="1"/>
  <c r="C450" i="3" a="1"/>
  <c r="C450" i="3" s="1"/>
  <c r="N450" i="3" s="1"/>
  <c r="C455" i="3" a="1"/>
  <c r="C455" i="3" s="1"/>
  <c r="N455" i="3" s="1"/>
  <c r="C460" i="3" a="1"/>
  <c r="C460" i="3" s="1"/>
  <c r="N460" i="3" s="1"/>
  <c r="F464" i="3" a="1"/>
  <c r="F464" i="3" s="1"/>
  <c r="Q464" i="3" s="1"/>
  <c r="E467" i="3" a="1"/>
  <c r="E467" i="3" s="1"/>
  <c r="P467" i="3" s="1"/>
  <c r="F473" i="3" a="1"/>
  <c r="F473" i="3" s="1"/>
  <c r="Q473" i="3" s="1"/>
  <c r="E489" i="3" a="1"/>
  <c r="E489" i="3" s="1"/>
  <c r="P489" i="3" s="1"/>
  <c r="D477" i="3" a="1"/>
  <c r="D477" i="3" s="1"/>
  <c r="O477" i="3" s="1"/>
  <c r="E471" i="3" a="1"/>
  <c r="E471" i="3" s="1"/>
  <c r="P471" i="3" s="1"/>
  <c r="E493" i="3" a="1"/>
  <c r="E493" i="3" s="1"/>
  <c r="P493" i="3" s="1"/>
  <c r="D409" i="3" a="1"/>
  <c r="D409" i="3" s="1"/>
  <c r="O409" i="3" s="1"/>
  <c r="C418" i="3" a="1"/>
  <c r="C418" i="3" s="1"/>
  <c r="N418" i="3" s="1"/>
  <c r="E424" i="3" a="1"/>
  <c r="E424" i="3" s="1"/>
  <c r="P424" i="3" s="1"/>
  <c r="F429" i="3" a="1"/>
  <c r="F429" i="3" s="1"/>
  <c r="Q429" i="3" s="1"/>
  <c r="F434" i="3" a="1"/>
  <c r="F434" i="3" s="1"/>
  <c r="Q434" i="3" s="1"/>
  <c r="D440" i="3" a="1"/>
  <c r="D440" i="3" s="1"/>
  <c r="O440" i="3" s="1"/>
  <c r="D445" i="3" a="1"/>
  <c r="D445" i="3" s="1"/>
  <c r="O445" i="3" s="1"/>
  <c r="D450" i="3" a="1"/>
  <c r="D450" i="3" s="1"/>
  <c r="O450" i="3" s="1"/>
  <c r="F455" i="3" a="1"/>
  <c r="F455" i="3" s="1"/>
  <c r="Q455" i="3" s="1"/>
  <c r="C461" i="3" a="1"/>
  <c r="C461" i="3" s="1"/>
  <c r="N461" i="3" s="1"/>
  <c r="C465" i="3" a="1"/>
  <c r="C465" i="3" s="1"/>
  <c r="N465" i="3" s="1"/>
  <c r="F467" i="3" a="1"/>
  <c r="F467" i="3" s="1"/>
  <c r="Q467" i="3" s="1"/>
  <c r="E480" i="3" a="1"/>
  <c r="E480" i="3" s="1"/>
  <c r="P480" i="3" s="1"/>
  <c r="D499" i="3" a="1"/>
  <c r="D499" i="3" s="1"/>
  <c r="O499" i="3" s="1"/>
  <c r="E490" i="3" a="1"/>
  <c r="E490" i="3" s="1"/>
  <c r="P490" i="3" s="1"/>
  <c r="F410" i="3" a="1"/>
  <c r="F410" i="3" s="1"/>
  <c r="Q410" i="3" s="1"/>
  <c r="D419" i="3" a="1"/>
  <c r="D419" i="3" s="1"/>
  <c r="O419" i="3" s="1"/>
  <c r="F424" i="3" a="1"/>
  <c r="F424" i="3" s="1"/>
  <c r="Q424" i="3" s="1"/>
  <c r="E430" i="3" a="1"/>
  <c r="E430" i="3" s="1"/>
  <c r="P430" i="3" s="1"/>
  <c r="E435" i="3" a="1"/>
  <c r="E435" i="3" s="1"/>
  <c r="P435" i="3" s="1"/>
  <c r="E440" i="3" a="1"/>
  <c r="E440" i="3" s="1"/>
  <c r="P440" i="3" s="1"/>
  <c r="C446" i="3" a="1"/>
  <c r="C446" i="3" s="1"/>
  <c r="N446" i="3" s="1"/>
  <c r="D451" i="3" a="1"/>
  <c r="D451" i="3" s="1"/>
  <c r="O451" i="3" s="1"/>
  <c r="C456" i="3" a="1"/>
  <c r="C456" i="3" s="1"/>
  <c r="N456" i="3" s="1"/>
  <c r="F461" i="3" a="1"/>
  <c r="F461" i="3" s="1"/>
  <c r="Q461" i="3" s="1"/>
  <c r="E465" i="3" a="1"/>
  <c r="E465" i="3" s="1"/>
  <c r="P465" i="3" s="1"/>
  <c r="E468" i="3" a="1"/>
  <c r="E468" i="3" s="1"/>
  <c r="P468" i="3" s="1"/>
  <c r="E477" i="3" a="1"/>
  <c r="E477" i="3" s="1"/>
  <c r="P477" i="3" s="1"/>
  <c r="F2" i="3"/>
  <c r="Q1" i="3" s="1"/>
  <c r="Z1" i="3" s="1"/>
  <c r="E2" i="3"/>
  <c r="P1" i="3" s="1"/>
  <c r="Y1" i="3" s="1"/>
  <c r="D2" i="3"/>
  <c r="O1" i="3" s="1"/>
  <c r="X1" i="3" s="1"/>
  <c r="C2" i="3"/>
  <c r="N1" i="3" s="1"/>
  <c r="W1" i="3" s="1"/>
  <c r="I3" i="3" l="1"/>
  <c r="I10" i="3" s="1"/>
  <c r="I2" i="3"/>
  <c r="I9" i="3" s="1"/>
  <c r="H3" i="3"/>
  <c r="H10" i="3" s="1"/>
  <c r="H2" i="3"/>
  <c r="H9" i="3" s="1"/>
  <c r="J9" i="3" l="1"/>
  <c r="K10" i="3" s="1"/>
  <c r="K9" i="3" l="1"/>
  <c r="J3" i="3" s="1"/>
  <c r="K3" i="3" s="1"/>
  <c r="J2" i="3" l="1"/>
  <c r="K2" i="3" s="1"/>
</calcChain>
</file>

<file path=xl/sharedStrings.xml><?xml version="1.0" encoding="utf-8"?>
<sst xmlns="http://schemas.openxmlformats.org/spreadsheetml/2006/main" count="21" uniqueCount="17">
  <si>
    <t>Header:</t>
  </si>
  <si>
    <t>Target Site:</t>
  </si>
  <si>
    <t>ID</t>
  </si>
  <si>
    <t>Generated From</t>
  </si>
  <si>
    <t>Protonav</t>
  </si>
  <si>
    <t>Palimentary</t>
  </si>
  <si>
    <t>Indices</t>
  </si>
  <si>
    <t>Protonav Left Correlations</t>
  </si>
  <si>
    <t>Palimentary Left Correlations</t>
  </si>
  <si>
    <t>Protonav Right Correlations</t>
  </si>
  <si>
    <t>Palimentary Right Correlations</t>
  </si>
  <si>
    <t>Input ID here:</t>
  </si>
  <si>
    <t>Index</t>
  </si>
  <si>
    <t>k</t>
  </si>
  <si>
    <t>Imaginary</t>
  </si>
  <si>
    <t>Fr</t>
  </si>
  <si>
    <t>Max 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</si>
</sst>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3" borderId="0" xfId="2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31-4255-96E0-9CBA2F4D4463}"/>
              </c:ext>
            </c:extLst>
          </c:dPt>
          <c:val>
            <c:numRef>
              <c:f>Sheet2!$C$3:$C$499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6-4169-9B80-B3AA16F4E99C}"/>
            </c:ext>
          </c:extLst>
        </c:ser>
        <c:ser>
          <c:idx val="1"/>
          <c:order val="1"/>
          <c:tx>
            <c:strRef>
              <c:f>Sheet2!$D$2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Sheet2!$D$3:$D$499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6-4169-9B80-B3AA16F4E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7A8-476B-B19F-28932593BACD}"/>
              </c:ext>
            </c:extLst>
          </c:dPt>
          <c:val>
            <c:numRef>
              <c:f>Sheet2!$E$3:$E$499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9-4407-BA24-DA599796B75D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Sheet2!$F$3:$F$499</c:f>
              <c:numCache>
                <c:formatCode>General</c:formatCode>
                <c:ptCount val="4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9-4407-BA24-DA599796B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Sheet2!$W$1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Sheet2!$W$2:$W$257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2-4A36-AD57-8FDE9A571B39}"/>
            </c:ext>
          </c:extLst>
        </c:ser>
        <c:ser>
          <c:idx val="1"/>
          <c:order val="1"/>
          <c:tx>
            <c:strRef>
              <c:f>Sheet2!$X$1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Sheet2!$X$2:$X$257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2-4A36-AD57-8FDE9A571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Sheet2!$Y$1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Sheet2!$Y$2:$Y$257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ACA-B868-888121E2C517}"/>
            </c:ext>
          </c:extLst>
        </c:ser>
        <c:ser>
          <c:idx val="1"/>
          <c:order val="1"/>
          <c:tx>
            <c:strRef>
              <c:f>Sheet2!$Z$1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Sheet2!$V$2:$V$257</c:f>
              <c:numCache>
                <c:formatCode>General</c:formatCode>
                <c:ptCount val="256"/>
                <c:pt idx="0">
                  <c:v>0</c:v>
                </c:pt>
                <c:pt idx="1">
                  <c:v>1.953125E-3</c:v>
                </c:pt>
                <c:pt idx="2">
                  <c:v>3.90625E-3</c:v>
                </c:pt>
                <c:pt idx="3">
                  <c:v>5.859375E-3</c:v>
                </c:pt>
                <c:pt idx="4">
                  <c:v>7.8125E-3</c:v>
                </c:pt>
                <c:pt idx="5">
                  <c:v>9.765625E-3</c:v>
                </c:pt>
                <c:pt idx="6">
                  <c:v>1.171875E-2</c:v>
                </c:pt>
                <c:pt idx="7">
                  <c:v>1.3671875E-2</c:v>
                </c:pt>
                <c:pt idx="8">
                  <c:v>1.5625E-2</c:v>
                </c:pt>
                <c:pt idx="9">
                  <c:v>1.7578125E-2</c:v>
                </c:pt>
                <c:pt idx="10">
                  <c:v>1.953125E-2</c:v>
                </c:pt>
                <c:pt idx="11">
                  <c:v>2.1484375E-2</c:v>
                </c:pt>
                <c:pt idx="12">
                  <c:v>2.34375E-2</c:v>
                </c:pt>
                <c:pt idx="13">
                  <c:v>2.5390625E-2</c:v>
                </c:pt>
                <c:pt idx="14">
                  <c:v>2.734375E-2</c:v>
                </c:pt>
                <c:pt idx="15">
                  <c:v>2.9296875E-2</c:v>
                </c:pt>
                <c:pt idx="16">
                  <c:v>3.125E-2</c:v>
                </c:pt>
                <c:pt idx="17">
                  <c:v>3.3203125E-2</c:v>
                </c:pt>
                <c:pt idx="18">
                  <c:v>3.515625E-2</c:v>
                </c:pt>
                <c:pt idx="19">
                  <c:v>3.7109375E-2</c:v>
                </c:pt>
                <c:pt idx="20">
                  <c:v>3.90625E-2</c:v>
                </c:pt>
                <c:pt idx="21">
                  <c:v>4.1015625E-2</c:v>
                </c:pt>
                <c:pt idx="22">
                  <c:v>4.296875E-2</c:v>
                </c:pt>
                <c:pt idx="23">
                  <c:v>4.4921875E-2</c:v>
                </c:pt>
                <c:pt idx="24">
                  <c:v>4.6875E-2</c:v>
                </c:pt>
                <c:pt idx="25">
                  <c:v>4.8828125E-2</c:v>
                </c:pt>
                <c:pt idx="26">
                  <c:v>5.078125E-2</c:v>
                </c:pt>
                <c:pt idx="27">
                  <c:v>5.2734375E-2</c:v>
                </c:pt>
                <c:pt idx="28">
                  <c:v>5.46875E-2</c:v>
                </c:pt>
                <c:pt idx="29">
                  <c:v>5.6640625E-2</c:v>
                </c:pt>
                <c:pt idx="30">
                  <c:v>5.859375E-2</c:v>
                </c:pt>
                <c:pt idx="31">
                  <c:v>6.0546875E-2</c:v>
                </c:pt>
                <c:pt idx="32">
                  <c:v>6.25E-2</c:v>
                </c:pt>
                <c:pt idx="33">
                  <c:v>6.4453125E-2</c:v>
                </c:pt>
                <c:pt idx="34">
                  <c:v>6.640625E-2</c:v>
                </c:pt>
                <c:pt idx="35">
                  <c:v>6.8359375E-2</c:v>
                </c:pt>
                <c:pt idx="36">
                  <c:v>7.03125E-2</c:v>
                </c:pt>
                <c:pt idx="37">
                  <c:v>7.2265625E-2</c:v>
                </c:pt>
                <c:pt idx="38">
                  <c:v>7.421875E-2</c:v>
                </c:pt>
                <c:pt idx="39">
                  <c:v>7.6171875E-2</c:v>
                </c:pt>
                <c:pt idx="40">
                  <c:v>7.8125E-2</c:v>
                </c:pt>
                <c:pt idx="41">
                  <c:v>8.0078125E-2</c:v>
                </c:pt>
                <c:pt idx="42">
                  <c:v>8.203125E-2</c:v>
                </c:pt>
                <c:pt idx="43">
                  <c:v>8.3984375E-2</c:v>
                </c:pt>
                <c:pt idx="44">
                  <c:v>8.59375E-2</c:v>
                </c:pt>
                <c:pt idx="45">
                  <c:v>8.7890625E-2</c:v>
                </c:pt>
                <c:pt idx="46">
                  <c:v>8.984375E-2</c:v>
                </c:pt>
                <c:pt idx="47">
                  <c:v>9.1796875E-2</c:v>
                </c:pt>
                <c:pt idx="48">
                  <c:v>9.375E-2</c:v>
                </c:pt>
                <c:pt idx="49">
                  <c:v>9.5703125E-2</c:v>
                </c:pt>
                <c:pt idx="50">
                  <c:v>9.765625E-2</c:v>
                </c:pt>
                <c:pt idx="51">
                  <c:v>9.9609375E-2</c:v>
                </c:pt>
                <c:pt idx="52">
                  <c:v>0.1015625</c:v>
                </c:pt>
                <c:pt idx="53">
                  <c:v>0.103515625</c:v>
                </c:pt>
                <c:pt idx="54">
                  <c:v>0.10546875</c:v>
                </c:pt>
                <c:pt idx="55">
                  <c:v>0.107421875</c:v>
                </c:pt>
                <c:pt idx="56">
                  <c:v>0.109375</c:v>
                </c:pt>
                <c:pt idx="57">
                  <c:v>0.111328125</c:v>
                </c:pt>
                <c:pt idx="58">
                  <c:v>0.11328125</c:v>
                </c:pt>
                <c:pt idx="59">
                  <c:v>0.115234375</c:v>
                </c:pt>
                <c:pt idx="60">
                  <c:v>0.1171875</c:v>
                </c:pt>
                <c:pt idx="61">
                  <c:v>0.119140625</c:v>
                </c:pt>
                <c:pt idx="62">
                  <c:v>0.12109375</c:v>
                </c:pt>
                <c:pt idx="63">
                  <c:v>0.123046875</c:v>
                </c:pt>
                <c:pt idx="64">
                  <c:v>0.125</c:v>
                </c:pt>
                <c:pt idx="65">
                  <c:v>0.126953125</c:v>
                </c:pt>
                <c:pt idx="66">
                  <c:v>0.12890625</c:v>
                </c:pt>
                <c:pt idx="67">
                  <c:v>0.130859375</c:v>
                </c:pt>
                <c:pt idx="68">
                  <c:v>0.1328125</c:v>
                </c:pt>
                <c:pt idx="69">
                  <c:v>0.134765625</c:v>
                </c:pt>
                <c:pt idx="70">
                  <c:v>0.13671875</c:v>
                </c:pt>
                <c:pt idx="71">
                  <c:v>0.138671875</c:v>
                </c:pt>
                <c:pt idx="72">
                  <c:v>0.140625</c:v>
                </c:pt>
                <c:pt idx="73">
                  <c:v>0.142578125</c:v>
                </c:pt>
                <c:pt idx="74">
                  <c:v>0.14453125</c:v>
                </c:pt>
                <c:pt idx="75">
                  <c:v>0.146484375</c:v>
                </c:pt>
                <c:pt idx="76">
                  <c:v>0.1484375</c:v>
                </c:pt>
                <c:pt idx="77">
                  <c:v>0.150390625</c:v>
                </c:pt>
                <c:pt idx="78">
                  <c:v>0.15234375</c:v>
                </c:pt>
                <c:pt idx="79">
                  <c:v>0.154296875</c:v>
                </c:pt>
                <c:pt idx="80">
                  <c:v>0.15625</c:v>
                </c:pt>
                <c:pt idx="81">
                  <c:v>0.158203125</c:v>
                </c:pt>
                <c:pt idx="82">
                  <c:v>0.16015625</c:v>
                </c:pt>
                <c:pt idx="83">
                  <c:v>0.162109375</c:v>
                </c:pt>
                <c:pt idx="84">
                  <c:v>0.1640625</c:v>
                </c:pt>
                <c:pt idx="85">
                  <c:v>0.166015625</c:v>
                </c:pt>
                <c:pt idx="86">
                  <c:v>0.16796875</c:v>
                </c:pt>
                <c:pt idx="87">
                  <c:v>0.169921875</c:v>
                </c:pt>
                <c:pt idx="88">
                  <c:v>0.171875</c:v>
                </c:pt>
                <c:pt idx="89">
                  <c:v>0.173828125</c:v>
                </c:pt>
                <c:pt idx="90">
                  <c:v>0.17578125</c:v>
                </c:pt>
                <c:pt idx="91">
                  <c:v>0.177734375</c:v>
                </c:pt>
                <c:pt idx="92">
                  <c:v>0.1796875</c:v>
                </c:pt>
                <c:pt idx="93">
                  <c:v>0.181640625</c:v>
                </c:pt>
                <c:pt idx="94">
                  <c:v>0.18359375</c:v>
                </c:pt>
                <c:pt idx="95">
                  <c:v>0.185546875</c:v>
                </c:pt>
                <c:pt idx="96">
                  <c:v>0.1875</c:v>
                </c:pt>
                <c:pt idx="97">
                  <c:v>0.189453125</c:v>
                </c:pt>
                <c:pt idx="98">
                  <c:v>0.19140625</c:v>
                </c:pt>
                <c:pt idx="99">
                  <c:v>0.193359375</c:v>
                </c:pt>
                <c:pt idx="100">
                  <c:v>0.1953125</c:v>
                </c:pt>
                <c:pt idx="101">
                  <c:v>0.197265625</c:v>
                </c:pt>
                <c:pt idx="102">
                  <c:v>0.19921875</c:v>
                </c:pt>
                <c:pt idx="103">
                  <c:v>0.201171875</c:v>
                </c:pt>
                <c:pt idx="104">
                  <c:v>0.203125</c:v>
                </c:pt>
                <c:pt idx="105">
                  <c:v>0.205078125</c:v>
                </c:pt>
                <c:pt idx="106">
                  <c:v>0.20703125</c:v>
                </c:pt>
                <c:pt idx="107">
                  <c:v>0.208984375</c:v>
                </c:pt>
                <c:pt idx="108">
                  <c:v>0.2109375</c:v>
                </c:pt>
                <c:pt idx="109">
                  <c:v>0.212890625</c:v>
                </c:pt>
                <c:pt idx="110">
                  <c:v>0.21484375</c:v>
                </c:pt>
                <c:pt idx="111">
                  <c:v>0.216796875</c:v>
                </c:pt>
                <c:pt idx="112">
                  <c:v>0.21875</c:v>
                </c:pt>
                <c:pt idx="113">
                  <c:v>0.220703125</c:v>
                </c:pt>
                <c:pt idx="114">
                  <c:v>0.22265625</c:v>
                </c:pt>
                <c:pt idx="115">
                  <c:v>0.224609375</c:v>
                </c:pt>
                <c:pt idx="116">
                  <c:v>0.2265625</c:v>
                </c:pt>
                <c:pt idx="117">
                  <c:v>0.228515625</c:v>
                </c:pt>
                <c:pt idx="118">
                  <c:v>0.23046875</c:v>
                </c:pt>
                <c:pt idx="119">
                  <c:v>0.232421875</c:v>
                </c:pt>
                <c:pt idx="120">
                  <c:v>0.234375</c:v>
                </c:pt>
                <c:pt idx="121">
                  <c:v>0.236328125</c:v>
                </c:pt>
                <c:pt idx="122">
                  <c:v>0.23828125</c:v>
                </c:pt>
                <c:pt idx="123">
                  <c:v>0.240234375</c:v>
                </c:pt>
                <c:pt idx="124">
                  <c:v>0.2421875</c:v>
                </c:pt>
                <c:pt idx="125">
                  <c:v>0.244140625</c:v>
                </c:pt>
                <c:pt idx="126">
                  <c:v>0.24609375</c:v>
                </c:pt>
                <c:pt idx="127">
                  <c:v>0.248046875</c:v>
                </c:pt>
                <c:pt idx="128">
                  <c:v>0.25</c:v>
                </c:pt>
                <c:pt idx="129">
                  <c:v>0.251953125</c:v>
                </c:pt>
                <c:pt idx="130">
                  <c:v>0.25390625</c:v>
                </c:pt>
                <c:pt idx="131">
                  <c:v>0.255859375</c:v>
                </c:pt>
                <c:pt idx="132">
                  <c:v>0.2578125</c:v>
                </c:pt>
                <c:pt idx="133">
                  <c:v>0.259765625</c:v>
                </c:pt>
                <c:pt idx="134">
                  <c:v>0.26171875</c:v>
                </c:pt>
                <c:pt idx="135">
                  <c:v>0.263671875</c:v>
                </c:pt>
                <c:pt idx="136">
                  <c:v>0.265625</c:v>
                </c:pt>
                <c:pt idx="137">
                  <c:v>0.267578125</c:v>
                </c:pt>
                <c:pt idx="138">
                  <c:v>0.26953125</c:v>
                </c:pt>
                <c:pt idx="139">
                  <c:v>0.271484375</c:v>
                </c:pt>
                <c:pt idx="140">
                  <c:v>0.2734375</c:v>
                </c:pt>
                <c:pt idx="141">
                  <c:v>0.275390625</c:v>
                </c:pt>
                <c:pt idx="142">
                  <c:v>0.27734375</c:v>
                </c:pt>
                <c:pt idx="143">
                  <c:v>0.279296875</c:v>
                </c:pt>
                <c:pt idx="144">
                  <c:v>0.28125</c:v>
                </c:pt>
                <c:pt idx="145">
                  <c:v>0.283203125</c:v>
                </c:pt>
                <c:pt idx="146">
                  <c:v>0.28515625</c:v>
                </c:pt>
                <c:pt idx="147">
                  <c:v>0.287109375</c:v>
                </c:pt>
                <c:pt idx="148">
                  <c:v>0.2890625</c:v>
                </c:pt>
                <c:pt idx="149">
                  <c:v>0.291015625</c:v>
                </c:pt>
                <c:pt idx="150">
                  <c:v>0.29296875</c:v>
                </c:pt>
                <c:pt idx="151">
                  <c:v>0.294921875</c:v>
                </c:pt>
                <c:pt idx="152">
                  <c:v>0.296875</c:v>
                </c:pt>
                <c:pt idx="153">
                  <c:v>0.298828125</c:v>
                </c:pt>
                <c:pt idx="154">
                  <c:v>0.30078125</c:v>
                </c:pt>
                <c:pt idx="155">
                  <c:v>0.302734375</c:v>
                </c:pt>
                <c:pt idx="156">
                  <c:v>0.3046875</c:v>
                </c:pt>
                <c:pt idx="157">
                  <c:v>0.306640625</c:v>
                </c:pt>
                <c:pt idx="158">
                  <c:v>0.30859375</c:v>
                </c:pt>
                <c:pt idx="159">
                  <c:v>0.310546875</c:v>
                </c:pt>
                <c:pt idx="160">
                  <c:v>0.3125</c:v>
                </c:pt>
                <c:pt idx="161">
                  <c:v>0.314453125</c:v>
                </c:pt>
                <c:pt idx="162">
                  <c:v>0.31640625</c:v>
                </c:pt>
                <c:pt idx="163">
                  <c:v>0.318359375</c:v>
                </c:pt>
                <c:pt idx="164">
                  <c:v>0.3203125</c:v>
                </c:pt>
                <c:pt idx="165">
                  <c:v>0.322265625</c:v>
                </c:pt>
                <c:pt idx="166">
                  <c:v>0.32421875</c:v>
                </c:pt>
                <c:pt idx="167">
                  <c:v>0.326171875</c:v>
                </c:pt>
                <c:pt idx="168">
                  <c:v>0.328125</c:v>
                </c:pt>
                <c:pt idx="169">
                  <c:v>0.330078125</c:v>
                </c:pt>
                <c:pt idx="170">
                  <c:v>0.33203125</c:v>
                </c:pt>
                <c:pt idx="171">
                  <c:v>0.333984375</c:v>
                </c:pt>
                <c:pt idx="172">
                  <c:v>0.3359375</c:v>
                </c:pt>
                <c:pt idx="173">
                  <c:v>0.337890625</c:v>
                </c:pt>
                <c:pt idx="174">
                  <c:v>0.33984375</c:v>
                </c:pt>
                <c:pt idx="175">
                  <c:v>0.341796875</c:v>
                </c:pt>
                <c:pt idx="176">
                  <c:v>0.34375</c:v>
                </c:pt>
                <c:pt idx="177">
                  <c:v>0.345703125</c:v>
                </c:pt>
                <c:pt idx="178">
                  <c:v>0.34765625</c:v>
                </c:pt>
                <c:pt idx="179">
                  <c:v>0.349609375</c:v>
                </c:pt>
                <c:pt idx="180">
                  <c:v>0.3515625</c:v>
                </c:pt>
                <c:pt idx="181">
                  <c:v>0.353515625</c:v>
                </c:pt>
                <c:pt idx="182">
                  <c:v>0.35546875</c:v>
                </c:pt>
                <c:pt idx="183">
                  <c:v>0.357421875</c:v>
                </c:pt>
                <c:pt idx="184">
                  <c:v>0.359375</c:v>
                </c:pt>
                <c:pt idx="185">
                  <c:v>0.361328125</c:v>
                </c:pt>
                <c:pt idx="186">
                  <c:v>0.36328125</c:v>
                </c:pt>
                <c:pt idx="187">
                  <c:v>0.365234375</c:v>
                </c:pt>
                <c:pt idx="188">
                  <c:v>0.3671875</c:v>
                </c:pt>
                <c:pt idx="189">
                  <c:v>0.369140625</c:v>
                </c:pt>
                <c:pt idx="190">
                  <c:v>0.37109375</c:v>
                </c:pt>
                <c:pt idx="191">
                  <c:v>0.373046875</c:v>
                </c:pt>
                <c:pt idx="192">
                  <c:v>0.375</c:v>
                </c:pt>
                <c:pt idx="193">
                  <c:v>0.376953125</c:v>
                </c:pt>
                <c:pt idx="194">
                  <c:v>0.37890625</c:v>
                </c:pt>
                <c:pt idx="195">
                  <c:v>0.380859375</c:v>
                </c:pt>
                <c:pt idx="196">
                  <c:v>0.3828125</c:v>
                </c:pt>
                <c:pt idx="197">
                  <c:v>0.384765625</c:v>
                </c:pt>
                <c:pt idx="198">
                  <c:v>0.38671875</c:v>
                </c:pt>
                <c:pt idx="199">
                  <c:v>0.388671875</c:v>
                </c:pt>
                <c:pt idx="200">
                  <c:v>0.390625</c:v>
                </c:pt>
                <c:pt idx="201">
                  <c:v>0.392578125</c:v>
                </c:pt>
                <c:pt idx="202">
                  <c:v>0.39453125</c:v>
                </c:pt>
                <c:pt idx="203">
                  <c:v>0.396484375</c:v>
                </c:pt>
                <c:pt idx="204">
                  <c:v>0.3984375</c:v>
                </c:pt>
                <c:pt idx="205">
                  <c:v>0.400390625</c:v>
                </c:pt>
                <c:pt idx="206">
                  <c:v>0.40234375</c:v>
                </c:pt>
                <c:pt idx="207">
                  <c:v>0.404296875</c:v>
                </c:pt>
                <c:pt idx="208">
                  <c:v>0.40625</c:v>
                </c:pt>
                <c:pt idx="209">
                  <c:v>0.408203125</c:v>
                </c:pt>
                <c:pt idx="210">
                  <c:v>0.41015625</c:v>
                </c:pt>
                <c:pt idx="211">
                  <c:v>0.412109375</c:v>
                </c:pt>
                <c:pt idx="212">
                  <c:v>0.4140625</c:v>
                </c:pt>
                <c:pt idx="213">
                  <c:v>0.416015625</c:v>
                </c:pt>
                <c:pt idx="214">
                  <c:v>0.41796875</c:v>
                </c:pt>
                <c:pt idx="215">
                  <c:v>0.419921875</c:v>
                </c:pt>
                <c:pt idx="216">
                  <c:v>0.421875</c:v>
                </c:pt>
                <c:pt idx="217">
                  <c:v>0.423828125</c:v>
                </c:pt>
                <c:pt idx="218">
                  <c:v>0.42578125</c:v>
                </c:pt>
                <c:pt idx="219">
                  <c:v>0.427734375</c:v>
                </c:pt>
                <c:pt idx="220">
                  <c:v>0.4296875</c:v>
                </c:pt>
                <c:pt idx="221">
                  <c:v>0.431640625</c:v>
                </c:pt>
                <c:pt idx="222">
                  <c:v>0.43359375</c:v>
                </c:pt>
                <c:pt idx="223">
                  <c:v>0.435546875</c:v>
                </c:pt>
                <c:pt idx="224">
                  <c:v>0.4375</c:v>
                </c:pt>
                <c:pt idx="225">
                  <c:v>0.439453125</c:v>
                </c:pt>
                <c:pt idx="226">
                  <c:v>0.44140625</c:v>
                </c:pt>
                <c:pt idx="227">
                  <c:v>0.443359375</c:v>
                </c:pt>
                <c:pt idx="228">
                  <c:v>0.4453125</c:v>
                </c:pt>
                <c:pt idx="229">
                  <c:v>0.447265625</c:v>
                </c:pt>
                <c:pt idx="230">
                  <c:v>0.44921875</c:v>
                </c:pt>
                <c:pt idx="231">
                  <c:v>0.451171875</c:v>
                </c:pt>
                <c:pt idx="232">
                  <c:v>0.453125</c:v>
                </c:pt>
                <c:pt idx="233">
                  <c:v>0.455078125</c:v>
                </c:pt>
                <c:pt idx="234">
                  <c:v>0.45703125</c:v>
                </c:pt>
                <c:pt idx="235">
                  <c:v>0.458984375</c:v>
                </c:pt>
                <c:pt idx="236">
                  <c:v>0.4609375</c:v>
                </c:pt>
                <c:pt idx="237">
                  <c:v>0.462890625</c:v>
                </c:pt>
                <c:pt idx="238">
                  <c:v>0.46484375</c:v>
                </c:pt>
                <c:pt idx="239">
                  <c:v>0.466796875</c:v>
                </c:pt>
                <c:pt idx="240">
                  <c:v>0.46875</c:v>
                </c:pt>
                <c:pt idx="241">
                  <c:v>0.470703125</c:v>
                </c:pt>
                <c:pt idx="242">
                  <c:v>0.47265625</c:v>
                </c:pt>
                <c:pt idx="243">
                  <c:v>0.474609375</c:v>
                </c:pt>
                <c:pt idx="244">
                  <c:v>0.4765625</c:v>
                </c:pt>
                <c:pt idx="245">
                  <c:v>0.478515625</c:v>
                </c:pt>
                <c:pt idx="246">
                  <c:v>0.48046875</c:v>
                </c:pt>
                <c:pt idx="247">
                  <c:v>0.482421875</c:v>
                </c:pt>
                <c:pt idx="248">
                  <c:v>0.484375</c:v>
                </c:pt>
                <c:pt idx="249">
                  <c:v>0.486328125</c:v>
                </c:pt>
                <c:pt idx="250">
                  <c:v>0.48828125</c:v>
                </c:pt>
                <c:pt idx="251">
                  <c:v>0.490234375</c:v>
                </c:pt>
                <c:pt idx="252">
                  <c:v>0.4921875</c:v>
                </c:pt>
                <c:pt idx="253">
                  <c:v>0.494140625</c:v>
                </c:pt>
                <c:pt idx="254">
                  <c:v>0.49609375</c:v>
                </c:pt>
                <c:pt idx="255">
                  <c:v>0.498046875</c:v>
                </c:pt>
              </c:numCache>
            </c:numRef>
          </c:xVal>
          <c:yVal>
            <c:numRef>
              <c:f>Sheet2!$Z$2:$Z$257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E-4ACA-B868-888121E2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69011</xdr:colOff>
      <xdr:row>12</xdr:row>
      <xdr:rowOff>155276</xdr:rowOff>
    </xdr:from>
    <xdr:to>
      <xdr:col>8</xdr:col>
      <xdr:colOff>1069676</xdr:colOff>
      <xdr:row>31</xdr:row>
      <xdr:rowOff>34506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521DF-EBD7-4AA6-BEEA-66FCAAC78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250166</xdr:colOff>
      <xdr:row>13</xdr:row>
      <xdr:rowOff>2</xdr:rowOff>
    </xdr:from>
    <xdr:to>
      <xdr:col>14</xdr:col>
      <xdr:colOff>146649</xdr:colOff>
      <xdr:row>31</xdr:row>
      <xdr:rowOff>60386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31DBCA-9B7B-4EEA-AE7F-DBD1C88F2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500333</xdr:colOff>
      <xdr:row>13</xdr:row>
      <xdr:rowOff>30192</xdr:rowOff>
    </xdr:from>
    <xdr:to>
      <xdr:col>19</xdr:col>
      <xdr:colOff>547776</xdr:colOff>
      <xdr:row>31</xdr:row>
      <xdr:rowOff>69012</xdr:rowOff>
    </xdr:to>
    <xdr:graphicFrame macro="">
      <xdr:nvGraphicFramePr>
        <xdr:cNvPr id="6" name="FFT_LEFT">
          <a:extLst>
            <a:ext uri="{FF2B5EF4-FFF2-40B4-BE49-F238E27FC236}">
              <a16:creationId xmlns:a16="http://schemas.microsoft.com/office/drawing/2014/main" id="{A5EFD7D5-190A-4B15-9F74-8EFF73B02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90578</xdr:colOff>
      <xdr:row>13</xdr:row>
      <xdr:rowOff>34506</xdr:rowOff>
    </xdr:from>
    <xdr:to>
      <xdr:col>26</xdr:col>
      <xdr:colOff>974783</xdr:colOff>
      <xdr:row>31</xdr:row>
      <xdr:rowOff>73326</xdr:rowOff>
    </xdr:to>
    <xdr:graphicFrame macro="">
      <xdr:nvGraphicFramePr>
        <xdr:cNvPr id="7" name="FFT_RIGHT">
          <a:extLst>
            <a:ext uri="{FF2B5EF4-FFF2-40B4-BE49-F238E27FC236}">
              <a16:creationId xmlns:a16="http://schemas.microsoft.com/office/drawing/2014/main" id="{B422346A-1027-4BB0-AE76-A620103AF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6"/>
  <sheetViews>
    <sheetView tabSelected="1" workbookViewId="0">
      <selection activeCell="I8" sqref="I8"/>
    </sheetView>
  </sheetViews>
  <sheetFormatPr defaultColWidth="16" defaultRowHeight="14.3" x14ac:dyDescent="0.25"/>
  <sheetData>
    <row r="1" spans="1:11" x14ac:dyDescent="0.25">
      <c r="A1" s="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1" x14ac:dyDescent="0.25">
      <c r="A2" s="7" t="s">
        <v>1</v>
      </c>
      <c r="B2" s="17"/>
      <c r="C2" s="17"/>
      <c r="D2" s="17"/>
      <c r="E2" s="17"/>
      <c r="F2" s="17"/>
      <c r="G2" s="17"/>
      <c r="H2" s="17"/>
      <c r="I2" s="17"/>
      <c r="J2" s="17"/>
    </row>
    <row r="4" spans="1:11" ht="19.05" x14ac:dyDescent="0.25">
      <c r="A4" s="5" t="s">
        <v>2</v>
      </c>
      <c r="B4" s="6" t="s">
        <v>3</v>
      </c>
      <c r="C4" s="5" t="s">
        <v>4</v>
      </c>
      <c r="D4" s="5" t="s">
        <v>5</v>
      </c>
      <c r="F4" s="1" t="s">
        <v>11</v>
      </c>
      <c r="G4" s="2">
        <v>0</v>
      </c>
      <c r="J4" s="1" t="s">
        <v>16</v>
      </c>
      <c r="K4" s="4">
        <v>0</v>
      </c>
    </row>
    <row r="49" spans="1:4" x14ac:dyDescent="0.25">
      <c r="A49" s="4"/>
      <c r="B49" s="4"/>
      <c r="C49" s="4"/>
      <c r="D49" s="4"/>
    </row>
    <row r="50" spans="1:4" x14ac:dyDescent="0.25">
      <c r="A50" s="4"/>
      <c r="B50" s="4"/>
      <c r="C50" s="4"/>
      <c r="D50" s="4"/>
    </row>
    <row r="51" spans="1:4" x14ac:dyDescent="0.25">
      <c r="A51" s="4"/>
      <c r="B51" s="4"/>
      <c r="C51" s="4"/>
      <c r="D51" s="4"/>
    </row>
    <row r="52" spans="1:4" x14ac:dyDescent="0.25">
      <c r="A52" s="4"/>
      <c r="B52" s="4"/>
      <c r="C52" s="4"/>
      <c r="D52" s="4"/>
    </row>
    <row r="53" spans="1:4" x14ac:dyDescent="0.25">
      <c r="A53" s="4"/>
      <c r="B53" s="4"/>
      <c r="C53" s="4"/>
      <c r="D53" s="4"/>
    </row>
    <row r="54" spans="1:4" x14ac:dyDescent="0.25">
      <c r="A54" s="4"/>
      <c r="B54" s="4"/>
      <c r="C54" s="4"/>
      <c r="D54" s="4"/>
    </row>
    <row r="55" spans="1:4" x14ac:dyDescent="0.25">
      <c r="A55" s="4"/>
      <c r="B55" s="4"/>
      <c r="C55" s="4"/>
      <c r="D55" s="4"/>
    </row>
    <row r="56" spans="1:4" x14ac:dyDescent="0.25">
      <c r="A56" s="4"/>
      <c r="B56" s="4"/>
      <c r="C56" s="4"/>
      <c r="D56" s="4"/>
    </row>
    <row r="57" spans="1:4" x14ac:dyDescent="0.25">
      <c r="A57" s="4"/>
      <c r="B57" s="4"/>
      <c r="C57" s="4"/>
      <c r="D57" s="4"/>
    </row>
    <row r="58" spans="1:4" x14ac:dyDescent="0.25">
      <c r="A58" s="4"/>
      <c r="B58" s="4"/>
      <c r="C58" s="4"/>
      <c r="D58" s="4"/>
    </row>
    <row r="59" spans="1:4" x14ac:dyDescent="0.25">
      <c r="A59" s="4"/>
      <c r="B59" s="4"/>
      <c r="C59" s="4"/>
      <c r="D59" s="4"/>
    </row>
    <row r="60" spans="1:4" x14ac:dyDescent="0.25">
      <c r="A60" s="4"/>
      <c r="B60" s="4"/>
      <c r="C60" s="4"/>
      <c r="D60" s="4"/>
    </row>
    <row r="61" spans="1:4" x14ac:dyDescent="0.25">
      <c r="A61" s="4"/>
      <c r="B61" s="4"/>
      <c r="C61" s="4"/>
      <c r="D61" s="4"/>
    </row>
    <row r="62" spans="1:4" x14ac:dyDescent="0.25">
      <c r="A62" s="4"/>
      <c r="B62" s="4"/>
      <c r="C62" s="4"/>
      <c r="D62" s="4"/>
    </row>
    <row r="63" spans="1:4" x14ac:dyDescent="0.25">
      <c r="A63" s="4"/>
      <c r="B63" s="4"/>
      <c r="C63" s="4"/>
      <c r="D63" s="4"/>
    </row>
    <row r="64" spans="1:4" x14ac:dyDescent="0.25">
      <c r="A64" s="4"/>
      <c r="B64" s="4"/>
      <c r="C64" s="4"/>
      <c r="D64" s="4"/>
    </row>
    <row r="65" spans="1:4" x14ac:dyDescent="0.25">
      <c r="A65" s="4"/>
      <c r="B65" s="4"/>
      <c r="C65" s="4"/>
      <c r="D65" s="4"/>
    </row>
    <row r="66" spans="1:4" x14ac:dyDescent="0.25">
      <c r="A66" s="4"/>
      <c r="B66" s="4"/>
      <c r="C66" s="4"/>
      <c r="D66" s="4"/>
    </row>
    <row r="67" spans="1:4" x14ac:dyDescent="0.25">
      <c r="A67" s="4"/>
      <c r="B67" s="4"/>
      <c r="C67" s="4"/>
      <c r="D67" s="4"/>
    </row>
    <row r="68" spans="1:4" x14ac:dyDescent="0.25">
      <c r="A68" s="4"/>
      <c r="B68" s="4"/>
      <c r="C68" s="4"/>
      <c r="D68" s="4"/>
    </row>
    <row r="69" spans="1:4" x14ac:dyDescent="0.25">
      <c r="A69" s="4"/>
      <c r="B69" s="4"/>
      <c r="C69" s="4"/>
      <c r="D69" s="4"/>
    </row>
    <row r="70" spans="1:4" x14ac:dyDescent="0.25">
      <c r="A70" s="4"/>
      <c r="B70" s="4"/>
      <c r="C70" s="4"/>
      <c r="D70" s="4"/>
    </row>
    <row r="71" spans="1:4" x14ac:dyDescent="0.25">
      <c r="A71" s="4"/>
      <c r="B71" s="4"/>
      <c r="C71" s="4"/>
      <c r="D71" s="4"/>
    </row>
    <row r="72" spans="1:4" x14ac:dyDescent="0.25">
      <c r="A72" s="4"/>
      <c r="B72" s="4"/>
      <c r="C72" s="4"/>
      <c r="D72" s="4"/>
    </row>
    <row r="73" spans="1:4" x14ac:dyDescent="0.25">
      <c r="A73" s="4"/>
      <c r="B73" s="4"/>
      <c r="C73" s="4"/>
      <c r="D73" s="4"/>
    </row>
    <row r="74" spans="1:4" x14ac:dyDescent="0.25">
      <c r="A74" s="4"/>
      <c r="B74" s="4"/>
      <c r="C74" s="4"/>
      <c r="D74" s="4"/>
    </row>
    <row r="75" spans="1:4" x14ac:dyDescent="0.25">
      <c r="A75" s="4"/>
      <c r="B75" s="4"/>
      <c r="C75" s="4"/>
      <c r="D75" s="4"/>
    </row>
    <row r="76" spans="1:4" x14ac:dyDescent="0.25">
      <c r="A76" s="4"/>
      <c r="B76" s="4"/>
      <c r="C76" s="4"/>
      <c r="D76" s="4"/>
    </row>
    <row r="77" spans="1:4" x14ac:dyDescent="0.25">
      <c r="A77" s="4"/>
      <c r="B77" s="4"/>
      <c r="C77" s="4"/>
      <c r="D77" s="4"/>
    </row>
    <row r="78" spans="1:4" x14ac:dyDescent="0.25">
      <c r="A78" s="4"/>
      <c r="B78" s="4"/>
      <c r="C78" s="4"/>
      <c r="D78" s="4"/>
    </row>
    <row r="79" spans="1:4" x14ac:dyDescent="0.25">
      <c r="A79" s="4"/>
      <c r="B79" s="4"/>
      <c r="C79" s="4"/>
      <c r="D79" s="4"/>
    </row>
    <row r="80" spans="1:4" x14ac:dyDescent="0.25">
      <c r="A80" s="4"/>
      <c r="B80" s="4"/>
      <c r="C80" s="4"/>
      <c r="D80" s="4"/>
    </row>
    <row r="81" spans="1:4" x14ac:dyDescent="0.25">
      <c r="A81" s="4"/>
      <c r="B81" s="4"/>
      <c r="C81" s="4"/>
      <c r="D81" s="4"/>
    </row>
    <row r="82" spans="1:4" x14ac:dyDescent="0.25">
      <c r="A82" s="4"/>
      <c r="B82" s="4"/>
      <c r="C82" s="4"/>
      <c r="D82" s="4"/>
    </row>
    <row r="83" spans="1:4" x14ac:dyDescent="0.25">
      <c r="A83" s="4"/>
      <c r="B83" s="4"/>
      <c r="C83" s="4"/>
      <c r="D83" s="4"/>
    </row>
    <row r="84" spans="1:4" x14ac:dyDescent="0.25">
      <c r="A84" s="4"/>
      <c r="B84" s="4"/>
      <c r="C84" s="4"/>
      <c r="D84" s="4"/>
    </row>
    <row r="85" spans="1:4" x14ac:dyDescent="0.25">
      <c r="A85" s="4"/>
      <c r="B85" s="4"/>
      <c r="C85" s="4"/>
      <c r="D85" s="4"/>
    </row>
    <row r="86" spans="1:4" x14ac:dyDescent="0.25">
      <c r="A86" s="4"/>
      <c r="B86" s="4"/>
      <c r="C86" s="4"/>
      <c r="D86" s="4"/>
    </row>
    <row r="87" spans="1:4" x14ac:dyDescent="0.25">
      <c r="A87" s="4"/>
      <c r="B87" s="4"/>
      <c r="C87" s="4"/>
      <c r="D87" s="4"/>
    </row>
    <row r="88" spans="1:4" x14ac:dyDescent="0.25">
      <c r="A88" s="4"/>
      <c r="B88" s="4"/>
      <c r="C88" s="4"/>
      <c r="D88" s="4"/>
    </row>
    <row r="89" spans="1:4" x14ac:dyDescent="0.25">
      <c r="A89" s="4"/>
      <c r="B89" s="4"/>
      <c r="C89" s="4"/>
      <c r="D89" s="4"/>
    </row>
    <row r="90" spans="1:4" x14ac:dyDescent="0.25">
      <c r="A90" s="4"/>
      <c r="B90" s="4"/>
      <c r="C90" s="4"/>
      <c r="D90" s="4"/>
    </row>
    <row r="91" spans="1:4" x14ac:dyDescent="0.25">
      <c r="A91" s="4"/>
      <c r="B91" s="4"/>
      <c r="C91" s="4"/>
      <c r="D91" s="4"/>
    </row>
    <row r="92" spans="1:4" x14ac:dyDescent="0.25">
      <c r="A92" s="4"/>
      <c r="B92" s="4"/>
      <c r="C92" s="4"/>
      <c r="D92" s="4"/>
    </row>
    <row r="93" spans="1:4" x14ac:dyDescent="0.25">
      <c r="A93" s="4"/>
      <c r="B93" s="4"/>
      <c r="C93" s="4"/>
      <c r="D93" s="4"/>
    </row>
    <row r="94" spans="1:4" x14ac:dyDescent="0.25">
      <c r="A94" s="4"/>
      <c r="B94" s="4"/>
      <c r="C94" s="4"/>
      <c r="D94" s="4"/>
    </row>
    <row r="95" spans="1:4" x14ac:dyDescent="0.25">
      <c r="A95" s="4"/>
      <c r="B95" s="4"/>
      <c r="C95" s="4"/>
      <c r="D95" s="4"/>
    </row>
    <row r="96" spans="1:4" x14ac:dyDescent="0.25">
      <c r="A96" s="4"/>
      <c r="B96" s="4"/>
      <c r="C96" s="4"/>
      <c r="D9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zoomScaleNormal="100" workbookViewId="0">
      <selection activeCell="A2" sqref="A2:F21869"/>
    </sheetView>
  </sheetViews>
  <sheetFormatPr defaultColWidth="16" defaultRowHeight="14.3" x14ac:dyDescent="0.25"/>
  <sheetData>
    <row r="1" spans="1:6" ht="42.8" x14ac:dyDescent="0.25">
      <c r="A1" s="5" t="s">
        <v>2</v>
      </c>
      <c r="B1" s="5" t="s">
        <v>6</v>
      </c>
      <c r="C1" s="6" t="s">
        <v>7</v>
      </c>
      <c r="D1" s="6" t="s">
        <v>8</v>
      </c>
      <c r="E1" s="6" t="s">
        <v>9</v>
      </c>
      <c r="F1" s="6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7A994-6117-4065-967D-C70E297C54B2}">
  <sheetPr codeName="Sheet3"/>
  <dimension ref="A1:Z513"/>
  <sheetViews>
    <sheetView zoomScaleNormal="100" workbookViewId="0">
      <selection activeCell="N7" sqref="N7"/>
    </sheetView>
  </sheetViews>
  <sheetFormatPr defaultRowHeight="14.3" x14ac:dyDescent="0.25"/>
  <cols>
    <col min="1" max="1" width="2.875" bestFit="1" customWidth="1"/>
    <col min="2" max="2" width="5.25" bestFit="1" customWidth="1"/>
    <col min="3" max="6" width="15.625" customWidth="1"/>
    <col min="22" max="22" width="11.875" bestFit="1" customWidth="1"/>
    <col min="23" max="23" width="11.375" bestFit="1" customWidth="1"/>
    <col min="24" max="24" width="11.875" bestFit="1" customWidth="1"/>
    <col min="25" max="25" width="12.625" bestFit="1" customWidth="1"/>
    <col min="26" max="26" width="12.125" bestFit="1" customWidth="1"/>
    <col min="27" max="27" width="25.5" customWidth="1"/>
  </cols>
  <sheetData>
    <row r="1" spans="1:26" x14ac:dyDescent="0.25">
      <c r="A1" s="3">
        <f>Sheet0!G4</f>
        <v>0</v>
      </c>
      <c r="B1" s="4"/>
      <c r="C1" s="4"/>
      <c r="D1" s="4"/>
      <c r="E1" s="4"/>
      <c r="F1" s="4"/>
      <c r="M1" s="15" t="s">
        <v>13</v>
      </c>
      <c r="N1" s="16" t="e">
        <f>C2</f>
        <v>#N/A</v>
      </c>
      <c r="O1" s="16" t="e">
        <f>D2</f>
        <v>#N/A</v>
      </c>
      <c r="P1" s="16" t="e">
        <f>E2</f>
        <v>#N/A</v>
      </c>
      <c r="Q1" s="16" t="e">
        <f>F2</f>
        <v>#N/A</v>
      </c>
      <c r="R1" s="15" t="s">
        <v>14</v>
      </c>
      <c r="S1" s="15" t="s">
        <v>14</v>
      </c>
      <c r="T1" s="15" t="s">
        <v>14</v>
      </c>
      <c r="U1" s="15" t="s">
        <v>14</v>
      </c>
      <c r="V1" s="15" t="s">
        <v>15</v>
      </c>
      <c r="W1" s="15" t="e">
        <f>"MG("&amp;N1&amp;") Left"</f>
        <v>#N/A</v>
      </c>
      <c r="X1" s="15" t="e">
        <f>"MG("&amp;O1&amp;") Left"</f>
        <v>#N/A</v>
      </c>
      <c r="Y1" s="15" t="e">
        <f>"MG("&amp;P1&amp;") Right"</f>
        <v>#N/A</v>
      </c>
      <c r="Z1" s="15" t="e">
        <f>"MG("&amp;Q1&amp;") Right"</f>
        <v>#N/A</v>
      </c>
    </row>
    <row r="2" spans="1:26" ht="16.3" x14ac:dyDescent="0.25">
      <c r="A2" s="4"/>
      <c r="B2" s="4" t="s">
        <v>12</v>
      </c>
      <c r="C2" s="8" t="e">
        <f>INDEX(Sheet0!$A$5:$D$48,MATCH($A$1,Sheet0!$A$5:$A$48,FALSE),3)</f>
        <v>#N/A</v>
      </c>
      <c r="D2" s="8" t="e">
        <f>INDEX(Sheet0!$A$5:$D$48,MATCH($A$1,Sheet0!$A$5:$A$48,FALSE),4)</f>
        <v>#N/A</v>
      </c>
      <c r="E2" s="8" t="e">
        <f>INDEX(Sheet0!$A$5:$D$48,MATCH($A$1,Sheet0!$A$5:$A$48,FALSE),3)</f>
        <v>#N/A</v>
      </c>
      <c r="F2" s="8" t="e">
        <f>INDEX(Sheet0!$A$5:$D$48,MATCH($A$1,Sheet0!$A$5:$A$48,FALSE),4)</f>
        <v>#N/A</v>
      </c>
      <c r="H2">
        <f>MAX($C$3:$D$499)</f>
        <v>0</v>
      </c>
      <c r="I2">
        <f>MAX($E$3:$F$499)</f>
        <v>0</v>
      </c>
      <c r="J2">
        <f>_xlfn.CEILING.MATH(MAX($H$2:$I$2)) + $K$9</f>
        <v>0.1</v>
      </c>
      <c r="K2">
        <f>$J$2+($K$9-MOD($J$2,$K$9))</f>
        <v>0.2</v>
      </c>
      <c r="M2" s="9">
        <v>0</v>
      </c>
      <c r="N2" s="10">
        <v>0</v>
      </c>
      <c r="O2" s="11">
        <v>0</v>
      </c>
      <c r="P2" s="12">
        <v>0</v>
      </c>
      <c r="Q2" s="13">
        <v>0</v>
      </c>
      <c r="V2" s="14">
        <f t="shared" ref="V2:V65" si="0">$M2*(1/512)</f>
        <v>0</v>
      </c>
      <c r="W2" s="10">
        <v>0</v>
      </c>
      <c r="X2" s="11">
        <v>0</v>
      </c>
      <c r="Y2" s="12">
        <v>0</v>
      </c>
      <c r="Z2" s="13">
        <v>0</v>
      </c>
    </row>
    <row r="3" spans="1:26" x14ac:dyDescent="0.25">
      <c r="A3" s="4"/>
      <c r="B3" s="4">
        <v>1</v>
      </c>
      <c r="C3" s="4">
        <f t="array" ref="C3">INDEX(Sheet1!$B$2:$F$22000,SMALL(IF(Sheet1!$A$2:$A$22000=$A$1,ROW(Sheet1!$B$2:$B$22000)),ROW($A1:$F1))-1,2)</f>
        <v>0</v>
      </c>
      <c r="D3" s="4">
        <f t="array" ref="D3">INDEX(Sheet1!$B$2:$F$22000,SMALL(IF(Sheet1!$A$2:$A$22000=$A$1,ROW(Sheet1!$B$2:$B$22000)),ROW($A1:$F1))-1,3)</f>
        <v>0</v>
      </c>
      <c r="E3" s="4">
        <f t="array" ref="E3">INDEX(Sheet1!$B$2:$F$22000,SMALL(IF(Sheet1!$A$2:$A$22000=$A$1,ROW(Sheet1!$B$2:$B$22000)),ROW($A1:$F1))-1,4)</f>
        <v>0</v>
      </c>
      <c r="F3" s="4">
        <f t="array" ref="F3">INDEX(Sheet1!$B$2:$F$22000,SMALL(IF(Sheet1!$A$2:$A$22000=$A$1,ROW(Sheet1!$B$2:$B$22000)),ROW($A1:$F1))-1,5)</f>
        <v>0</v>
      </c>
      <c r="H3">
        <f>MIN($C$3:$D$499)</f>
        <v>0</v>
      </c>
      <c r="I3">
        <f>MIN($E$3:$F$499)</f>
        <v>0</v>
      </c>
      <c r="J3">
        <f>_xlfn.FLOOR.MATH(MIN($H$3:$I$3)) - $K$9</f>
        <v>-0.1</v>
      </c>
      <c r="K3">
        <f>$J$3-MOD(J3,$K$9)</f>
        <v>-0.1</v>
      </c>
      <c r="M3" s="9">
        <v>1</v>
      </c>
      <c r="N3" s="10">
        <f>C3</f>
        <v>0</v>
      </c>
      <c r="O3" s="11">
        <f>D3</f>
        <v>0</v>
      </c>
      <c r="P3" s="12">
        <f>E3</f>
        <v>0</v>
      </c>
      <c r="Q3" s="13">
        <f>F3</f>
        <v>0</v>
      </c>
      <c r="V3" s="14">
        <f t="shared" si="0"/>
        <v>1.953125E-3</v>
      </c>
      <c r="W3" s="10">
        <f>IMABS(R3)</f>
        <v>0</v>
      </c>
      <c r="X3" s="11">
        <f t="shared" ref="X3:Z18" si="1">IMABS(S3)</f>
        <v>0</v>
      </c>
      <c r="Y3" s="12">
        <f t="shared" si="1"/>
        <v>0</v>
      </c>
      <c r="Z3" s="13">
        <f t="shared" si="1"/>
        <v>0</v>
      </c>
    </row>
    <row r="4" spans="1:26" x14ac:dyDescent="0.25">
      <c r="A4" s="4"/>
      <c r="B4" s="4">
        <v>2</v>
      </c>
      <c r="C4" s="4">
        <f t="array" ref="C4">INDEX(Sheet1!$B$2:$F$22000,SMALL(IF(Sheet1!$A$2:$A$22000=$A$1,ROW(Sheet1!$B$2:$B$22000)),ROW($A2:$F2))-1,2)</f>
        <v>0</v>
      </c>
      <c r="D4" s="4">
        <f t="array" ref="D4">INDEX(Sheet1!$B$2:$F$22000,SMALL(IF(Sheet1!$A$2:$A$22000=$A$1,ROW(Sheet1!$B$2:$B$22000)),ROW($A2:$F2))-1,3)</f>
        <v>0</v>
      </c>
      <c r="E4" s="4">
        <f t="array" ref="E4">INDEX(Sheet1!$B$2:$F$22000,SMALL(IF(Sheet1!$A$2:$A$22000=$A$1,ROW(Sheet1!$B$2:$B$22000)),ROW($A2:$F2))-1,4)</f>
        <v>0</v>
      </c>
      <c r="F4" s="4">
        <f t="array" ref="F4">INDEX(Sheet1!$B$2:$F$22000,SMALL(IF(Sheet1!$A$2:$A$22000=$A$1,ROW(Sheet1!$B$2:$B$22000)),ROW($A2:$F2))-1,5)</f>
        <v>0</v>
      </c>
      <c r="G4">
        <v>1</v>
      </c>
      <c r="M4" s="9">
        <v>2</v>
      </c>
      <c r="N4" s="10">
        <f t="shared" ref="N4:N67" si="2">C4</f>
        <v>0</v>
      </c>
      <c r="O4" s="11">
        <f t="shared" ref="O4:O67" si="3">D4</f>
        <v>0</v>
      </c>
      <c r="P4" s="12">
        <f t="shared" ref="P4:P67" si="4">E4</f>
        <v>0</v>
      </c>
      <c r="Q4" s="13">
        <f t="shared" ref="Q4:Q67" si="5">F4</f>
        <v>0</v>
      </c>
      <c r="V4" s="14">
        <f t="shared" si="0"/>
        <v>3.90625E-3</v>
      </c>
      <c r="W4" s="10">
        <f t="shared" ref="W4:Z67" si="6">IMABS(R4)</f>
        <v>0</v>
      </c>
      <c r="X4" s="11">
        <f t="shared" si="1"/>
        <v>0</v>
      </c>
      <c r="Y4" s="12">
        <f t="shared" si="1"/>
        <v>0</v>
      </c>
      <c r="Z4" s="13">
        <f t="shared" si="1"/>
        <v>0</v>
      </c>
    </row>
    <row r="5" spans="1:26" x14ac:dyDescent="0.25">
      <c r="A5" s="4"/>
      <c r="B5" s="4">
        <v>3</v>
      </c>
      <c r="C5" s="4">
        <f t="array" ref="C5">INDEX(Sheet1!$B$2:$F$22000,SMALL(IF(Sheet1!$A$2:$A$22000=$A$1,ROW(Sheet1!$B$2:$B$22000)),ROW($A3:$F3))-1,2)</f>
        <v>0</v>
      </c>
      <c r="D5" s="4">
        <f t="array" ref="D5">INDEX(Sheet1!$B$2:$F$22000,SMALL(IF(Sheet1!$A$2:$A$22000=$A$1,ROW(Sheet1!$B$2:$B$22000)),ROW($A3:$F3))-1,3)</f>
        <v>0</v>
      </c>
      <c r="E5" s="4">
        <f t="array" ref="E5">INDEX(Sheet1!$B$2:$F$22000,SMALL(IF(Sheet1!$A$2:$A$22000=$A$1,ROW(Sheet1!$B$2:$B$22000)),ROW($A3:$F3))-1,4)</f>
        <v>0</v>
      </c>
      <c r="F5" s="4">
        <f t="array" ref="F5">INDEX(Sheet1!$B$2:$F$22000,SMALL(IF(Sheet1!$A$2:$A$22000=$A$1,ROW(Sheet1!$B$2:$B$22000)),ROW($A3:$F3))-1,5)</f>
        <v>0</v>
      </c>
      <c r="M5" s="9">
        <v>3</v>
      </c>
      <c r="N5" s="10">
        <f t="shared" si="2"/>
        <v>0</v>
      </c>
      <c r="O5" s="11">
        <f t="shared" si="3"/>
        <v>0</v>
      </c>
      <c r="P5" s="12">
        <f t="shared" si="4"/>
        <v>0</v>
      </c>
      <c r="Q5" s="13">
        <f t="shared" si="5"/>
        <v>0</v>
      </c>
      <c r="V5" s="14">
        <f t="shared" si="0"/>
        <v>5.859375E-3</v>
      </c>
      <c r="W5" s="10">
        <f t="shared" si="6"/>
        <v>0</v>
      </c>
      <c r="X5" s="11">
        <f t="shared" si="1"/>
        <v>0</v>
      </c>
      <c r="Y5" s="12">
        <f t="shared" si="1"/>
        <v>0</v>
      </c>
      <c r="Z5" s="13">
        <f t="shared" si="1"/>
        <v>0</v>
      </c>
    </row>
    <row r="6" spans="1:26" x14ac:dyDescent="0.25">
      <c r="A6" s="4"/>
      <c r="B6" s="4">
        <v>4</v>
      </c>
      <c r="C6" s="4">
        <f t="array" ref="C6">INDEX(Sheet1!$B$2:$F$22000,SMALL(IF(Sheet1!$A$2:$A$22000=$A$1,ROW(Sheet1!$B$2:$B$22000)),ROW($A4:$F4))-1,2)</f>
        <v>0</v>
      </c>
      <c r="D6" s="4">
        <f t="array" ref="D6">INDEX(Sheet1!$B$2:$F$22000,SMALL(IF(Sheet1!$A$2:$A$22000=$A$1,ROW(Sheet1!$B$2:$B$22000)),ROW($A4:$F4))-1,3)</f>
        <v>0</v>
      </c>
      <c r="E6" s="4">
        <f t="array" ref="E6">INDEX(Sheet1!$B$2:$F$22000,SMALL(IF(Sheet1!$A$2:$A$22000=$A$1,ROW(Sheet1!$B$2:$B$22000)),ROW($A4:$F4))-1,4)</f>
        <v>0</v>
      </c>
      <c r="F6" s="4">
        <f t="array" ref="F6">INDEX(Sheet1!$B$2:$F$22000,SMALL(IF(Sheet1!$A$2:$A$22000=$A$1,ROW(Sheet1!$B$2:$B$22000)),ROW($A4:$F4))-1,5)</f>
        <v>0</v>
      </c>
      <c r="M6" s="9">
        <v>4</v>
      </c>
      <c r="N6" s="10">
        <f t="shared" si="2"/>
        <v>0</v>
      </c>
      <c r="O6" s="11">
        <f t="shared" si="3"/>
        <v>0</v>
      </c>
      <c r="P6" s="12">
        <f t="shared" si="4"/>
        <v>0</v>
      </c>
      <c r="Q6" s="13">
        <f t="shared" si="5"/>
        <v>0</v>
      </c>
      <c r="V6" s="14">
        <f t="shared" si="0"/>
        <v>7.8125E-3</v>
      </c>
      <c r="W6" s="10">
        <f t="shared" si="6"/>
        <v>0</v>
      </c>
      <c r="X6" s="11">
        <f t="shared" si="1"/>
        <v>0</v>
      </c>
      <c r="Y6" s="12">
        <f t="shared" si="1"/>
        <v>0</v>
      </c>
      <c r="Z6" s="13">
        <f t="shared" si="1"/>
        <v>0</v>
      </c>
    </row>
    <row r="7" spans="1:26" x14ac:dyDescent="0.25">
      <c r="A7" s="4"/>
      <c r="B7" s="4">
        <v>5</v>
      </c>
      <c r="C7" s="4">
        <f t="array" ref="C7">INDEX(Sheet1!$B$2:$F$22000,SMALL(IF(Sheet1!$A$2:$A$22000=$A$1,ROW(Sheet1!$B$2:$B$22000)),ROW($A5:$F5))-1,2)</f>
        <v>0</v>
      </c>
      <c r="D7" s="4">
        <f t="array" ref="D7">INDEX(Sheet1!$B$2:$F$22000,SMALL(IF(Sheet1!$A$2:$A$22000=$A$1,ROW(Sheet1!$B$2:$B$22000)),ROW($A5:$F5))-1,3)</f>
        <v>0</v>
      </c>
      <c r="E7" s="4">
        <f t="array" ref="E7">INDEX(Sheet1!$B$2:$F$22000,SMALL(IF(Sheet1!$A$2:$A$22000=$A$1,ROW(Sheet1!$B$2:$B$22000)),ROW($A5:$F5))-1,4)</f>
        <v>0</v>
      </c>
      <c r="F7" s="4">
        <f t="array" ref="F7">INDEX(Sheet1!$B$2:$F$22000,SMALL(IF(Sheet1!$A$2:$A$22000=$A$1,ROW(Sheet1!$B$2:$B$22000)),ROW($A5:$F5))-1,5)</f>
        <v>0</v>
      </c>
      <c r="M7" s="9">
        <v>5</v>
      </c>
      <c r="N7" s="10">
        <f t="shared" si="2"/>
        <v>0</v>
      </c>
      <c r="O7" s="11">
        <f t="shared" si="3"/>
        <v>0</v>
      </c>
      <c r="P7" s="12">
        <f t="shared" si="4"/>
        <v>0</v>
      </c>
      <c r="Q7" s="13">
        <f t="shared" si="5"/>
        <v>0</v>
      </c>
      <c r="V7" s="14">
        <f t="shared" si="0"/>
        <v>9.765625E-3</v>
      </c>
      <c r="W7" s="10">
        <f t="shared" si="6"/>
        <v>0</v>
      </c>
      <c r="X7" s="11">
        <f t="shared" si="1"/>
        <v>0</v>
      </c>
      <c r="Y7" s="12">
        <f t="shared" si="1"/>
        <v>0</v>
      </c>
      <c r="Z7" s="13">
        <f t="shared" si="1"/>
        <v>0</v>
      </c>
    </row>
    <row r="8" spans="1:26" x14ac:dyDescent="0.25">
      <c r="A8" s="4"/>
      <c r="B8" s="4">
        <v>6</v>
      </c>
      <c r="C8" s="4">
        <f t="array" ref="C8">INDEX(Sheet1!$B$2:$F$22000,SMALL(IF(Sheet1!$A$2:$A$22000=$A$1,ROW(Sheet1!$B$2:$B$22000)),ROW($A6:$F6))-1,2)</f>
        <v>0</v>
      </c>
      <c r="D8" s="4">
        <f t="array" ref="D8">INDEX(Sheet1!$B$2:$F$22000,SMALL(IF(Sheet1!$A$2:$A$22000=$A$1,ROW(Sheet1!$B$2:$B$22000)),ROW($A6:$F6))-1,3)</f>
        <v>0</v>
      </c>
      <c r="E8" s="4">
        <f t="array" ref="E8">INDEX(Sheet1!$B$2:$F$22000,SMALL(IF(Sheet1!$A$2:$A$22000=$A$1,ROW(Sheet1!$B$2:$B$22000)),ROW($A6:$F6))-1,4)</f>
        <v>0</v>
      </c>
      <c r="F8" s="4">
        <f t="array" ref="F8">INDEX(Sheet1!$B$2:$F$22000,SMALL(IF(Sheet1!$A$2:$A$22000=$A$1,ROW(Sheet1!$B$2:$B$22000)),ROW($A6:$F6))-1,5)</f>
        <v>0</v>
      </c>
      <c r="M8" s="9">
        <v>6</v>
      </c>
      <c r="N8" s="10">
        <f t="shared" si="2"/>
        <v>0</v>
      </c>
      <c r="O8" s="11">
        <f t="shared" si="3"/>
        <v>0</v>
      </c>
      <c r="P8" s="12">
        <f t="shared" si="4"/>
        <v>0</v>
      </c>
      <c r="Q8" s="13">
        <f t="shared" si="5"/>
        <v>0</v>
      </c>
      <c r="V8" s="14">
        <f t="shared" si="0"/>
        <v>1.171875E-2</v>
      </c>
      <c r="W8" s="10">
        <f t="shared" si="6"/>
        <v>0</v>
      </c>
      <c r="X8" s="11">
        <f t="shared" si="1"/>
        <v>0</v>
      </c>
      <c r="Y8" s="12">
        <f t="shared" si="1"/>
        <v>0</v>
      </c>
      <c r="Z8" s="13">
        <f t="shared" si="1"/>
        <v>0</v>
      </c>
    </row>
    <row r="9" spans="1:26" x14ac:dyDescent="0.25">
      <c r="A9" s="4"/>
      <c r="B9" s="4">
        <v>7</v>
      </c>
      <c r="C9" s="4">
        <f t="array" ref="C9">INDEX(Sheet1!$B$2:$F$22000,SMALL(IF(Sheet1!$A$2:$A$22000=$A$1,ROW(Sheet1!$B$2:$B$22000)),ROW($A7:$F7))-1,2)</f>
        <v>0</v>
      </c>
      <c r="D9" s="4">
        <f t="array" ref="D9">INDEX(Sheet1!$B$2:$F$22000,SMALL(IF(Sheet1!$A$2:$A$22000=$A$1,ROW(Sheet1!$B$2:$B$22000)),ROW($A7:$F7))-1,3)</f>
        <v>0</v>
      </c>
      <c r="E9" s="4">
        <f t="array" ref="E9">INDEX(Sheet1!$B$2:$F$22000,SMALL(IF(Sheet1!$A$2:$A$22000=$A$1,ROW(Sheet1!$B$2:$B$22000)),ROW($A7:$F7))-1,4)</f>
        <v>0</v>
      </c>
      <c r="F9" s="4">
        <f t="array" ref="F9">INDEX(Sheet1!$B$2:$F$22000,SMALL(IF(Sheet1!$A$2:$A$22000=$A$1,ROW(Sheet1!$B$2:$B$22000)),ROW($A7:$F7))-1,5)</f>
        <v>0</v>
      </c>
      <c r="H9">
        <f>LEN(_xlfn.FLOOR.MATH($H$2))</f>
        <v>1</v>
      </c>
      <c r="I9">
        <f>LEN(_xlfn.FLOOR.MATH($I$2))</f>
        <v>1</v>
      </c>
      <c r="J9">
        <f>MAX($H$9:$I$10)-1</f>
        <v>0</v>
      </c>
      <c r="K9">
        <f>POWER(10,$J$9-1)</f>
        <v>0.1</v>
      </c>
      <c r="M9" s="9">
        <v>7</v>
      </c>
      <c r="N9" s="10">
        <f t="shared" si="2"/>
        <v>0</v>
      </c>
      <c r="O9" s="11">
        <f t="shared" si="3"/>
        <v>0</v>
      </c>
      <c r="P9" s="12">
        <f t="shared" si="4"/>
        <v>0</v>
      </c>
      <c r="Q9" s="13">
        <f t="shared" si="5"/>
        <v>0</v>
      </c>
      <c r="V9" s="14">
        <f t="shared" si="0"/>
        <v>1.3671875E-2</v>
      </c>
      <c r="W9" s="10">
        <f t="shared" si="6"/>
        <v>0</v>
      </c>
      <c r="X9" s="11">
        <f t="shared" si="1"/>
        <v>0</v>
      </c>
      <c r="Y9" s="12">
        <f t="shared" si="1"/>
        <v>0</v>
      </c>
      <c r="Z9" s="13">
        <f t="shared" si="1"/>
        <v>0</v>
      </c>
    </row>
    <row r="10" spans="1:26" x14ac:dyDescent="0.25">
      <c r="A10" s="4"/>
      <c r="B10" s="4">
        <v>8</v>
      </c>
      <c r="C10" s="4">
        <f t="array" ref="C10">INDEX(Sheet1!$B$2:$F$22000,SMALL(IF(Sheet1!$A$2:$A$22000=$A$1,ROW(Sheet1!$B$2:$B$22000)),ROW($A8:$F8))-1,2)</f>
        <v>0</v>
      </c>
      <c r="D10" s="4">
        <f t="array" ref="D10">INDEX(Sheet1!$B$2:$F$22000,SMALL(IF(Sheet1!$A$2:$A$22000=$A$1,ROW(Sheet1!$B$2:$B$22000)),ROW($A8:$F8))-1,3)</f>
        <v>0</v>
      </c>
      <c r="E10" s="4">
        <f t="array" ref="E10">INDEX(Sheet1!$B$2:$F$22000,SMALL(IF(Sheet1!$A$2:$A$22000=$A$1,ROW(Sheet1!$B$2:$B$22000)),ROW($A8:$F8))-1,4)</f>
        <v>0</v>
      </c>
      <c r="F10" s="4">
        <f t="array" ref="F10">INDEX(Sheet1!$B$2:$F$22000,SMALL(IF(Sheet1!$A$2:$A$22000=$A$1,ROW(Sheet1!$B$2:$B$22000)),ROW($A8:$F8))-1,5)</f>
        <v>0</v>
      </c>
      <c r="H10">
        <f>LEN(_xlfn.FLOOR.MATH($H$3))</f>
        <v>1</v>
      </c>
      <c r="I10">
        <f>LEN(_xlfn.FLOOR.MATH($I$3))</f>
        <v>1</v>
      </c>
      <c r="K10">
        <f>POWER(10,$J$9)</f>
        <v>1</v>
      </c>
      <c r="M10" s="9">
        <v>8</v>
      </c>
      <c r="N10" s="10">
        <f t="shared" si="2"/>
        <v>0</v>
      </c>
      <c r="O10" s="11">
        <f t="shared" si="3"/>
        <v>0</v>
      </c>
      <c r="P10" s="12">
        <f t="shared" si="4"/>
        <v>0</v>
      </c>
      <c r="Q10" s="13">
        <f t="shared" si="5"/>
        <v>0</v>
      </c>
      <c r="V10" s="14">
        <f t="shared" si="0"/>
        <v>1.5625E-2</v>
      </c>
      <c r="W10" s="10">
        <f t="shared" si="6"/>
        <v>0</v>
      </c>
      <c r="X10" s="11">
        <f t="shared" si="1"/>
        <v>0</v>
      </c>
      <c r="Y10" s="12">
        <f t="shared" si="1"/>
        <v>0</v>
      </c>
      <c r="Z10" s="13">
        <f t="shared" si="1"/>
        <v>0</v>
      </c>
    </row>
    <row r="11" spans="1:26" x14ac:dyDescent="0.25">
      <c r="A11" s="4"/>
      <c r="B11" s="4">
        <v>9</v>
      </c>
      <c r="C11" s="4">
        <f t="array" ref="C11">INDEX(Sheet1!$B$2:$F$22000,SMALL(IF(Sheet1!$A$2:$A$22000=$A$1,ROW(Sheet1!$B$2:$B$22000)),ROW($A9:$F9))-1,2)</f>
        <v>0</v>
      </c>
      <c r="D11" s="4">
        <f t="array" ref="D11">INDEX(Sheet1!$B$2:$F$22000,SMALL(IF(Sheet1!$A$2:$A$22000=$A$1,ROW(Sheet1!$B$2:$B$22000)),ROW($A9:$F9))-1,3)</f>
        <v>0</v>
      </c>
      <c r="E11" s="4">
        <f t="array" ref="E11">INDEX(Sheet1!$B$2:$F$22000,SMALL(IF(Sheet1!$A$2:$A$22000=$A$1,ROW(Sheet1!$B$2:$B$22000)),ROW($A9:$F9))-1,4)</f>
        <v>0</v>
      </c>
      <c r="F11" s="4">
        <f t="array" ref="F11">INDEX(Sheet1!$B$2:$F$22000,SMALL(IF(Sheet1!$A$2:$A$22000=$A$1,ROW(Sheet1!$B$2:$B$22000)),ROW($A9:$F9))-1,5)</f>
        <v>0</v>
      </c>
      <c r="M11" s="9">
        <v>9</v>
      </c>
      <c r="N11" s="10">
        <f t="shared" si="2"/>
        <v>0</v>
      </c>
      <c r="O11" s="11">
        <f t="shared" si="3"/>
        <v>0</v>
      </c>
      <c r="P11" s="12">
        <f t="shared" si="4"/>
        <v>0</v>
      </c>
      <c r="Q11" s="13">
        <f t="shared" si="5"/>
        <v>0</v>
      </c>
      <c r="V11" s="14">
        <f t="shared" si="0"/>
        <v>1.7578125E-2</v>
      </c>
      <c r="W11" s="10">
        <f t="shared" si="6"/>
        <v>0</v>
      </c>
      <c r="X11" s="11">
        <f t="shared" si="1"/>
        <v>0</v>
      </c>
      <c r="Y11" s="12">
        <f t="shared" si="1"/>
        <v>0</v>
      </c>
      <c r="Z11" s="13">
        <f t="shared" si="1"/>
        <v>0</v>
      </c>
    </row>
    <row r="12" spans="1:26" x14ac:dyDescent="0.25">
      <c r="A12" s="4"/>
      <c r="B12" s="4">
        <v>10</v>
      </c>
      <c r="C12" s="4">
        <f t="array" ref="C12">INDEX(Sheet1!$B$2:$F$22000,SMALL(IF(Sheet1!$A$2:$A$22000=$A$1,ROW(Sheet1!$B$2:$B$22000)),ROW($A10:$F10))-1,2)</f>
        <v>0</v>
      </c>
      <c r="D12" s="4">
        <f t="array" ref="D12">INDEX(Sheet1!$B$2:$F$22000,SMALL(IF(Sheet1!$A$2:$A$22000=$A$1,ROW(Sheet1!$B$2:$B$22000)),ROW($A10:$F10))-1,3)</f>
        <v>0</v>
      </c>
      <c r="E12" s="4">
        <f t="array" ref="E12">INDEX(Sheet1!$B$2:$F$22000,SMALL(IF(Sheet1!$A$2:$A$22000=$A$1,ROW(Sheet1!$B$2:$B$22000)),ROW($A10:$F10))-1,4)</f>
        <v>0</v>
      </c>
      <c r="F12" s="4">
        <f t="array" ref="F12">INDEX(Sheet1!$B$2:$F$22000,SMALL(IF(Sheet1!$A$2:$A$22000=$A$1,ROW(Sheet1!$B$2:$B$22000)),ROW($A10:$F10))-1,5)</f>
        <v>0</v>
      </c>
      <c r="M12" s="9">
        <v>10</v>
      </c>
      <c r="N12" s="10">
        <f t="shared" si="2"/>
        <v>0</v>
      </c>
      <c r="O12" s="11">
        <f t="shared" si="3"/>
        <v>0</v>
      </c>
      <c r="P12" s="12">
        <f t="shared" si="4"/>
        <v>0</v>
      </c>
      <c r="Q12" s="13">
        <f t="shared" si="5"/>
        <v>0</v>
      </c>
      <c r="V12" s="14">
        <f t="shared" si="0"/>
        <v>1.953125E-2</v>
      </c>
      <c r="W12" s="10">
        <f t="shared" si="6"/>
        <v>0</v>
      </c>
      <c r="X12" s="11">
        <f t="shared" si="1"/>
        <v>0</v>
      </c>
      <c r="Y12" s="12">
        <f t="shared" si="1"/>
        <v>0</v>
      </c>
      <c r="Z12" s="13">
        <f t="shared" si="1"/>
        <v>0</v>
      </c>
    </row>
    <row r="13" spans="1:26" x14ac:dyDescent="0.25">
      <c r="A13" s="4"/>
      <c r="B13" s="4">
        <v>11</v>
      </c>
      <c r="C13" s="4">
        <f t="array" ref="C13">INDEX(Sheet1!$B$2:$F$22000,SMALL(IF(Sheet1!$A$2:$A$22000=$A$1,ROW(Sheet1!$B$2:$B$22000)),ROW($A11:$F11))-1,2)</f>
        <v>0</v>
      </c>
      <c r="D13" s="4">
        <f t="array" ref="D13">INDEX(Sheet1!$B$2:$F$22000,SMALL(IF(Sheet1!$A$2:$A$22000=$A$1,ROW(Sheet1!$B$2:$B$22000)),ROW($A11:$F11))-1,3)</f>
        <v>0</v>
      </c>
      <c r="E13" s="4">
        <f t="array" ref="E13">INDEX(Sheet1!$B$2:$F$22000,SMALL(IF(Sheet1!$A$2:$A$22000=$A$1,ROW(Sheet1!$B$2:$B$22000)),ROW($A11:$F11))-1,4)</f>
        <v>0</v>
      </c>
      <c r="F13" s="4">
        <f t="array" ref="F13">INDEX(Sheet1!$B$2:$F$22000,SMALL(IF(Sheet1!$A$2:$A$22000=$A$1,ROW(Sheet1!$B$2:$B$22000)),ROW($A11:$F11))-1,5)</f>
        <v>0</v>
      </c>
      <c r="M13" s="9">
        <v>11</v>
      </c>
      <c r="N13" s="10">
        <f t="shared" si="2"/>
        <v>0</v>
      </c>
      <c r="O13" s="11">
        <f t="shared" si="3"/>
        <v>0</v>
      </c>
      <c r="P13" s="12">
        <f t="shared" si="4"/>
        <v>0</v>
      </c>
      <c r="Q13" s="13">
        <f t="shared" si="5"/>
        <v>0</v>
      </c>
      <c r="V13" s="14">
        <f t="shared" si="0"/>
        <v>2.1484375E-2</v>
      </c>
      <c r="W13" s="10">
        <f t="shared" si="6"/>
        <v>0</v>
      </c>
      <c r="X13" s="11">
        <f t="shared" si="1"/>
        <v>0</v>
      </c>
      <c r="Y13" s="12">
        <f t="shared" si="1"/>
        <v>0</v>
      </c>
      <c r="Z13" s="13">
        <f t="shared" si="1"/>
        <v>0</v>
      </c>
    </row>
    <row r="14" spans="1:26" x14ac:dyDescent="0.25">
      <c r="A14" s="4"/>
      <c r="B14" s="4">
        <v>12</v>
      </c>
      <c r="C14" s="4">
        <f t="array" ref="C14">INDEX(Sheet1!$B$2:$F$22000,SMALL(IF(Sheet1!$A$2:$A$22000=$A$1,ROW(Sheet1!$B$2:$B$22000)),ROW($A12:$F12))-1,2)</f>
        <v>0</v>
      </c>
      <c r="D14" s="4">
        <f t="array" ref="D14">INDEX(Sheet1!$B$2:$F$22000,SMALL(IF(Sheet1!$A$2:$A$22000=$A$1,ROW(Sheet1!$B$2:$B$22000)),ROW($A12:$F12))-1,3)</f>
        <v>0</v>
      </c>
      <c r="E14" s="4">
        <f t="array" ref="E14">INDEX(Sheet1!$B$2:$F$22000,SMALL(IF(Sheet1!$A$2:$A$22000=$A$1,ROW(Sheet1!$B$2:$B$22000)),ROW($A12:$F12))-1,4)</f>
        <v>0</v>
      </c>
      <c r="F14" s="4">
        <f t="array" ref="F14">INDEX(Sheet1!$B$2:$F$22000,SMALL(IF(Sheet1!$A$2:$A$22000=$A$1,ROW(Sheet1!$B$2:$B$22000)),ROW($A12:$F12))-1,5)</f>
        <v>0</v>
      </c>
      <c r="M14" s="9">
        <v>12</v>
      </c>
      <c r="N14" s="10">
        <f t="shared" si="2"/>
        <v>0</v>
      </c>
      <c r="O14" s="11">
        <f t="shared" si="3"/>
        <v>0</v>
      </c>
      <c r="P14" s="12">
        <f t="shared" si="4"/>
        <v>0</v>
      </c>
      <c r="Q14" s="13">
        <f t="shared" si="5"/>
        <v>0</v>
      </c>
      <c r="V14" s="14">
        <f t="shared" si="0"/>
        <v>2.34375E-2</v>
      </c>
      <c r="W14" s="10">
        <f t="shared" si="6"/>
        <v>0</v>
      </c>
      <c r="X14" s="11">
        <f t="shared" si="1"/>
        <v>0</v>
      </c>
      <c r="Y14" s="12">
        <f t="shared" si="1"/>
        <v>0</v>
      </c>
      <c r="Z14" s="13">
        <f t="shared" si="1"/>
        <v>0</v>
      </c>
    </row>
    <row r="15" spans="1:26" x14ac:dyDescent="0.25">
      <c r="A15" s="4"/>
      <c r="B15" s="4">
        <v>13</v>
      </c>
      <c r="C15" s="4">
        <f t="array" ref="C15">INDEX(Sheet1!$B$2:$F$22000,SMALL(IF(Sheet1!$A$2:$A$22000=$A$1,ROW(Sheet1!$B$2:$B$22000)),ROW($A13:$F13))-1,2)</f>
        <v>0</v>
      </c>
      <c r="D15" s="4">
        <f t="array" ref="D15">INDEX(Sheet1!$B$2:$F$22000,SMALL(IF(Sheet1!$A$2:$A$22000=$A$1,ROW(Sheet1!$B$2:$B$22000)),ROW($A13:$F13))-1,3)</f>
        <v>0</v>
      </c>
      <c r="E15" s="4">
        <f t="array" ref="E15">INDEX(Sheet1!$B$2:$F$22000,SMALL(IF(Sheet1!$A$2:$A$22000=$A$1,ROW(Sheet1!$B$2:$B$22000)),ROW($A13:$F13))-1,4)</f>
        <v>0</v>
      </c>
      <c r="F15" s="4">
        <f t="array" ref="F15">INDEX(Sheet1!$B$2:$F$22000,SMALL(IF(Sheet1!$A$2:$A$22000=$A$1,ROW(Sheet1!$B$2:$B$22000)),ROW($A13:$F13))-1,5)</f>
        <v>0</v>
      </c>
      <c r="M15" s="9">
        <v>13</v>
      </c>
      <c r="N15" s="10">
        <f t="shared" si="2"/>
        <v>0</v>
      </c>
      <c r="O15" s="11">
        <f t="shared" si="3"/>
        <v>0</v>
      </c>
      <c r="P15" s="12">
        <f t="shared" si="4"/>
        <v>0</v>
      </c>
      <c r="Q15" s="13">
        <f t="shared" si="5"/>
        <v>0</v>
      </c>
      <c r="V15" s="14">
        <f t="shared" si="0"/>
        <v>2.5390625E-2</v>
      </c>
      <c r="W15" s="10">
        <f t="shared" si="6"/>
        <v>0</v>
      </c>
      <c r="X15" s="11">
        <f t="shared" si="1"/>
        <v>0</v>
      </c>
      <c r="Y15" s="12">
        <f t="shared" si="1"/>
        <v>0</v>
      </c>
      <c r="Z15" s="13">
        <f t="shared" si="1"/>
        <v>0</v>
      </c>
    </row>
    <row r="16" spans="1:26" x14ac:dyDescent="0.25">
      <c r="A16" s="4"/>
      <c r="B16" s="4">
        <v>14</v>
      </c>
      <c r="C16" s="4">
        <f t="array" ref="C16">INDEX(Sheet1!$B$2:$F$22000,SMALL(IF(Sheet1!$A$2:$A$22000=$A$1,ROW(Sheet1!$B$2:$B$22000)),ROW($A14:$F14))-1,2)</f>
        <v>0</v>
      </c>
      <c r="D16" s="4">
        <f t="array" ref="D16">INDEX(Sheet1!$B$2:$F$22000,SMALL(IF(Sheet1!$A$2:$A$22000=$A$1,ROW(Sheet1!$B$2:$B$22000)),ROW($A14:$F14))-1,3)</f>
        <v>0</v>
      </c>
      <c r="E16" s="4">
        <f t="array" ref="E16">INDEX(Sheet1!$B$2:$F$22000,SMALL(IF(Sheet1!$A$2:$A$22000=$A$1,ROW(Sheet1!$B$2:$B$22000)),ROW($A14:$F14))-1,4)</f>
        <v>0</v>
      </c>
      <c r="F16" s="4">
        <f t="array" ref="F16">INDEX(Sheet1!$B$2:$F$22000,SMALL(IF(Sheet1!$A$2:$A$22000=$A$1,ROW(Sheet1!$B$2:$B$22000)),ROW($A14:$F14))-1,5)</f>
        <v>0</v>
      </c>
      <c r="M16" s="9">
        <v>14</v>
      </c>
      <c r="N16" s="10">
        <f t="shared" si="2"/>
        <v>0</v>
      </c>
      <c r="O16" s="11">
        <f t="shared" si="3"/>
        <v>0</v>
      </c>
      <c r="P16" s="12">
        <f t="shared" si="4"/>
        <v>0</v>
      </c>
      <c r="Q16" s="13">
        <f t="shared" si="5"/>
        <v>0</v>
      </c>
      <c r="V16" s="14">
        <f t="shared" si="0"/>
        <v>2.734375E-2</v>
      </c>
      <c r="W16" s="10">
        <f t="shared" si="6"/>
        <v>0</v>
      </c>
      <c r="X16" s="11">
        <f t="shared" si="1"/>
        <v>0</v>
      </c>
      <c r="Y16" s="12">
        <f t="shared" si="1"/>
        <v>0</v>
      </c>
      <c r="Z16" s="13">
        <f t="shared" si="1"/>
        <v>0</v>
      </c>
    </row>
    <row r="17" spans="1:26" x14ac:dyDescent="0.25">
      <c r="A17" s="4"/>
      <c r="B17" s="4">
        <v>15</v>
      </c>
      <c r="C17" s="4">
        <f t="array" ref="C17">INDEX(Sheet1!$B$2:$F$22000,SMALL(IF(Sheet1!$A$2:$A$22000=$A$1,ROW(Sheet1!$B$2:$B$22000)),ROW($A15:$F15))-1,2)</f>
        <v>0</v>
      </c>
      <c r="D17" s="4">
        <f t="array" ref="D17">INDEX(Sheet1!$B$2:$F$22000,SMALL(IF(Sheet1!$A$2:$A$22000=$A$1,ROW(Sheet1!$B$2:$B$22000)),ROW($A15:$F15))-1,3)</f>
        <v>0</v>
      </c>
      <c r="E17" s="4">
        <f t="array" ref="E17">INDEX(Sheet1!$B$2:$F$22000,SMALL(IF(Sheet1!$A$2:$A$22000=$A$1,ROW(Sheet1!$B$2:$B$22000)),ROW($A15:$F15))-1,4)</f>
        <v>0</v>
      </c>
      <c r="F17" s="4">
        <f t="array" ref="F17">INDEX(Sheet1!$B$2:$F$22000,SMALL(IF(Sheet1!$A$2:$A$22000=$A$1,ROW(Sheet1!$B$2:$B$22000)),ROW($A15:$F15))-1,5)</f>
        <v>0</v>
      </c>
      <c r="M17" s="9">
        <v>15</v>
      </c>
      <c r="N17" s="10">
        <f t="shared" si="2"/>
        <v>0</v>
      </c>
      <c r="O17" s="11">
        <f t="shared" si="3"/>
        <v>0</v>
      </c>
      <c r="P17" s="12">
        <f t="shared" si="4"/>
        <v>0</v>
      </c>
      <c r="Q17" s="13">
        <f t="shared" si="5"/>
        <v>0</v>
      </c>
      <c r="V17" s="14">
        <f t="shared" si="0"/>
        <v>2.9296875E-2</v>
      </c>
      <c r="W17" s="10">
        <f t="shared" si="6"/>
        <v>0</v>
      </c>
      <c r="X17" s="11">
        <f t="shared" si="1"/>
        <v>0</v>
      </c>
      <c r="Y17" s="12">
        <f t="shared" si="1"/>
        <v>0</v>
      </c>
      <c r="Z17" s="13">
        <f t="shared" si="1"/>
        <v>0</v>
      </c>
    </row>
    <row r="18" spans="1:26" x14ac:dyDescent="0.25">
      <c r="A18" s="4"/>
      <c r="B18" s="4">
        <v>16</v>
      </c>
      <c r="C18" s="4">
        <f t="array" ref="C18">INDEX(Sheet1!$B$2:$F$22000,SMALL(IF(Sheet1!$A$2:$A$22000=$A$1,ROW(Sheet1!$B$2:$B$22000)),ROW($A16:$F16))-1,2)</f>
        <v>0</v>
      </c>
      <c r="D18" s="4">
        <f t="array" ref="D18">INDEX(Sheet1!$B$2:$F$22000,SMALL(IF(Sheet1!$A$2:$A$22000=$A$1,ROW(Sheet1!$B$2:$B$22000)),ROW($A16:$F16))-1,3)</f>
        <v>0</v>
      </c>
      <c r="E18" s="4">
        <f t="array" ref="E18">INDEX(Sheet1!$B$2:$F$22000,SMALL(IF(Sheet1!$A$2:$A$22000=$A$1,ROW(Sheet1!$B$2:$B$22000)),ROW($A16:$F16))-1,4)</f>
        <v>0</v>
      </c>
      <c r="F18" s="4">
        <f t="array" ref="F18">INDEX(Sheet1!$B$2:$F$22000,SMALL(IF(Sheet1!$A$2:$A$22000=$A$1,ROW(Sheet1!$B$2:$B$22000)),ROW($A16:$F16))-1,5)</f>
        <v>0</v>
      </c>
      <c r="M18" s="9">
        <v>16</v>
      </c>
      <c r="N18" s="10">
        <f t="shared" si="2"/>
        <v>0</v>
      </c>
      <c r="O18" s="11">
        <f t="shared" si="3"/>
        <v>0</v>
      </c>
      <c r="P18" s="12">
        <f t="shared" si="4"/>
        <v>0</v>
      </c>
      <c r="Q18" s="13">
        <f t="shared" si="5"/>
        <v>0</v>
      </c>
      <c r="V18" s="14">
        <f t="shared" si="0"/>
        <v>3.125E-2</v>
      </c>
      <c r="W18" s="10">
        <f t="shared" si="6"/>
        <v>0</v>
      </c>
      <c r="X18" s="11">
        <f t="shared" si="1"/>
        <v>0</v>
      </c>
      <c r="Y18" s="12">
        <f t="shared" si="1"/>
        <v>0</v>
      </c>
      <c r="Z18" s="13">
        <f t="shared" si="1"/>
        <v>0</v>
      </c>
    </row>
    <row r="19" spans="1:26" x14ac:dyDescent="0.25">
      <c r="A19" s="4"/>
      <c r="B19" s="4">
        <v>17</v>
      </c>
      <c r="C19" s="4">
        <f t="array" ref="C19">INDEX(Sheet1!$B$2:$F$22000,SMALL(IF(Sheet1!$A$2:$A$22000=$A$1,ROW(Sheet1!$B$2:$B$22000)),ROW($A17:$F17))-1,2)</f>
        <v>0</v>
      </c>
      <c r="D19" s="4">
        <f t="array" ref="D19">INDEX(Sheet1!$B$2:$F$22000,SMALL(IF(Sheet1!$A$2:$A$22000=$A$1,ROW(Sheet1!$B$2:$B$22000)),ROW($A17:$F17))-1,3)</f>
        <v>0</v>
      </c>
      <c r="E19" s="4">
        <f t="array" ref="E19">INDEX(Sheet1!$B$2:$F$22000,SMALL(IF(Sheet1!$A$2:$A$22000=$A$1,ROW(Sheet1!$B$2:$B$22000)),ROW($A17:$F17))-1,4)</f>
        <v>0</v>
      </c>
      <c r="F19" s="4">
        <f t="array" ref="F19">INDEX(Sheet1!$B$2:$F$22000,SMALL(IF(Sheet1!$A$2:$A$22000=$A$1,ROW(Sheet1!$B$2:$B$22000)),ROW($A17:$F17))-1,5)</f>
        <v>0</v>
      </c>
      <c r="M19" s="9">
        <v>17</v>
      </c>
      <c r="N19" s="10">
        <f t="shared" si="2"/>
        <v>0</v>
      </c>
      <c r="O19" s="11">
        <f t="shared" si="3"/>
        <v>0</v>
      </c>
      <c r="P19" s="12">
        <f t="shared" si="4"/>
        <v>0</v>
      </c>
      <c r="Q19" s="13">
        <f t="shared" si="5"/>
        <v>0</v>
      </c>
      <c r="V19" s="14">
        <f t="shared" si="0"/>
        <v>3.3203125E-2</v>
      </c>
      <c r="W19" s="10">
        <f t="shared" si="6"/>
        <v>0</v>
      </c>
      <c r="X19" s="11">
        <f t="shared" si="6"/>
        <v>0</v>
      </c>
      <c r="Y19" s="12">
        <f t="shared" si="6"/>
        <v>0</v>
      </c>
      <c r="Z19" s="13">
        <f t="shared" si="6"/>
        <v>0</v>
      </c>
    </row>
    <row r="20" spans="1:26" x14ac:dyDescent="0.25">
      <c r="A20" s="4"/>
      <c r="B20" s="4">
        <v>18</v>
      </c>
      <c r="C20" s="4">
        <f t="array" ref="C20">INDEX(Sheet1!$B$2:$F$22000,SMALL(IF(Sheet1!$A$2:$A$22000=$A$1,ROW(Sheet1!$B$2:$B$22000)),ROW($A18:$F18))-1,2)</f>
        <v>0</v>
      </c>
      <c r="D20" s="4">
        <f t="array" ref="D20">INDEX(Sheet1!$B$2:$F$22000,SMALL(IF(Sheet1!$A$2:$A$22000=$A$1,ROW(Sheet1!$B$2:$B$22000)),ROW($A18:$F18))-1,3)</f>
        <v>0</v>
      </c>
      <c r="E20" s="4">
        <f t="array" ref="E20">INDEX(Sheet1!$B$2:$F$22000,SMALL(IF(Sheet1!$A$2:$A$22000=$A$1,ROW(Sheet1!$B$2:$B$22000)),ROW($A18:$F18))-1,4)</f>
        <v>0</v>
      </c>
      <c r="F20" s="4">
        <f t="array" ref="F20">INDEX(Sheet1!$B$2:$F$22000,SMALL(IF(Sheet1!$A$2:$A$22000=$A$1,ROW(Sheet1!$B$2:$B$22000)),ROW($A18:$F18))-1,5)</f>
        <v>0</v>
      </c>
      <c r="M20" s="9">
        <v>18</v>
      </c>
      <c r="N20" s="10">
        <f t="shared" si="2"/>
        <v>0</v>
      </c>
      <c r="O20" s="11">
        <f t="shared" si="3"/>
        <v>0</v>
      </c>
      <c r="P20" s="12">
        <f t="shared" si="4"/>
        <v>0</v>
      </c>
      <c r="Q20" s="13">
        <f t="shared" si="5"/>
        <v>0</v>
      </c>
      <c r="V20" s="14">
        <f t="shared" si="0"/>
        <v>3.515625E-2</v>
      </c>
      <c r="W20" s="10">
        <f t="shared" si="6"/>
        <v>0</v>
      </c>
      <c r="X20" s="11">
        <f t="shared" si="6"/>
        <v>0</v>
      </c>
      <c r="Y20" s="12">
        <f t="shared" si="6"/>
        <v>0</v>
      </c>
      <c r="Z20" s="13">
        <f t="shared" si="6"/>
        <v>0</v>
      </c>
    </row>
    <row r="21" spans="1:26" x14ac:dyDescent="0.25">
      <c r="A21" s="4"/>
      <c r="B21" s="4">
        <v>19</v>
      </c>
      <c r="C21" s="4">
        <f t="array" ref="C21">INDEX(Sheet1!$B$2:$F$22000,SMALL(IF(Sheet1!$A$2:$A$22000=$A$1,ROW(Sheet1!$B$2:$B$22000)),ROW($A19:$F19))-1,2)</f>
        <v>0</v>
      </c>
      <c r="D21" s="4">
        <f t="array" ref="D21">INDEX(Sheet1!$B$2:$F$22000,SMALL(IF(Sheet1!$A$2:$A$22000=$A$1,ROW(Sheet1!$B$2:$B$22000)),ROW($A19:$F19))-1,3)</f>
        <v>0</v>
      </c>
      <c r="E21" s="4">
        <f t="array" ref="E21">INDEX(Sheet1!$B$2:$F$22000,SMALL(IF(Sheet1!$A$2:$A$22000=$A$1,ROW(Sheet1!$B$2:$B$22000)),ROW($A19:$F19))-1,4)</f>
        <v>0</v>
      </c>
      <c r="F21" s="4">
        <f t="array" ref="F21">INDEX(Sheet1!$B$2:$F$22000,SMALL(IF(Sheet1!$A$2:$A$22000=$A$1,ROW(Sheet1!$B$2:$B$22000)),ROW($A19:$F19))-1,5)</f>
        <v>0</v>
      </c>
      <c r="M21" s="9">
        <v>19</v>
      </c>
      <c r="N21" s="10">
        <f t="shared" si="2"/>
        <v>0</v>
      </c>
      <c r="O21" s="11">
        <f t="shared" si="3"/>
        <v>0</v>
      </c>
      <c r="P21" s="12">
        <f t="shared" si="4"/>
        <v>0</v>
      </c>
      <c r="Q21" s="13">
        <f t="shared" si="5"/>
        <v>0</v>
      </c>
      <c r="V21" s="14">
        <f t="shared" si="0"/>
        <v>3.7109375E-2</v>
      </c>
      <c r="W21" s="10">
        <f t="shared" si="6"/>
        <v>0</v>
      </c>
      <c r="X21" s="11">
        <f t="shared" si="6"/>
        <v>0</v>
      </c>
      <c r="Y21" s="12">
        <f t="shared" si="6"/>
        <v>0</v>
      </c>
      <c r="Z21" s="13">
        <f t="shared" si="6"/>
        <v>0</v>
      </c>
    </row>
    <row r="22" spans="1:26" x14ac:dyDescent="0.25">
      <c r="A22" s="4"/>
      <c r="B22" s="4">
        <v>20</v>
      </c>
      <c r="C22" s="4">
        <f t="array" ref="C22">INDEX(Sheet1!$B$2:$F$22000,SMALL(IF(Sheet1!$A$2:$A$22000=$A$1,ROW(Sheet1!$B$2:$B$22000)),ROW($A20:$F20))-1,2)</f>
        <v>0</v>
      </c>
      <c r="D22" s="4">
        <f t="array" ref="D22">INDEX(Sheet1!$B$2:$F$22000,SMALL(IF(Sheet1!$A$2:$A$22000=$A$1,ROW(Sheet1!$B$2:$B$22000)),ROW($A20:$F20))-1,3)</f>
        <v>0</v>
      </c>
      <c r="E22" s="4">
        <f t="array" ref="E22">INDEX(Sheet1!$B$2:$F$22000,SMALL(IF(Sheet1!$A$2:$A$22000=$A$1,ROW(Sheet1!$B$2:$B$22000)),ROW($A20:$F20))-1,4)</f>
        <v>0</v>
      </c>
      <c r="F22" s="4">
        <f t="array" ref="F22">INDEX(Sheet1!$B$2:$F$22000,SMALL(IF(Sheet1!$A$2:$A$22000=$A$1,ROW(Sheet1!$B$2:$B$22000)),ROW($A20:$F20))-1,5)</f>
        <v>0</v>
      </c>
      <c r="M22" s="9">
        <v>20</v>
      </c>
      <c r="N22" s="10">
        <f t="shared" si="2"/>
        <v>0</v>
      </c>
      <c r="O22" s="11">
        <f t="shared" si="3"/>
        <v>0</v>
      </c>
      <c r="P22" s="12">
        <f t="shared" si="4"/>
        <v>0</v>
      </c>
      <c r="Q22" s="13">
        <f t="shared" si="5"/>
        <v>0</v>
      </c>
      <c r="V22" s="14">
        <f t="shared" si="0"/>
        <v>3.90625E-2</v>
      </c>
      <c r="W22" s="10">
        <f t="shared" si="6"/>
        <v>0</v>
      </c>
      <c r="X22" s="11">
        <f t="shared" si="6"/>
        <v>0</v>
      </c>
      <c r="Y22" s="12">
        <f t="shared" si="6"/>
        <v>0</v>
      </c>
      <c r="Z22" s="13">
        <f t="shared" si="6"/>
        <v>0</v>
      </c>
    </row>
    <row r="23" spans="1:26" x14ac:dyDescent="0.25">
      <c r="A23" s="4"/>
      <c r="B23" s="4">
        <v>21</v>
      </c>
      <c r="C23" s="4">
        <f t="array" ref="C23">INDEX(Sheet1!$B$2:$F$22000,SMALL(IF(Sheet1!$A$2:$A$22000=$A$1,ROW(Sheet1!$B$2:$B$22000)),ROW($A21:$F21))-1,2)</f>
        <v>0</v>
      </c>
      <c r="D23" s="4">
        <f t="array" ref="D23">INDEX(Sheet1!$B$2:$F$22000,SMALL(IF(Sheet1!$A$2:$A$22000=$A$1,ROW(Sheet1!$B$2:$B$22000)),ROW($A21:$F21))-1,3)</f>
        <v>0</v>
      </c>
      <c r="E23" s="4">
        <f t="array" ref="E23">INDEX(Sheet1!$B$2:$F$22000,SMALL(IF(Sheet1!$A$2:$A$22000=$A$1,ROW(Sheet1!$B$2:$B$22000)),ROW($A21:$F21))-1,4)</f>
        <v>0</v>
      </c>
      <c r="F23" s="4">
        <f t="array" ref="F23">INDEX(Sheet1!$B$2:$F$22000,SMALL(IF(Sheet1!$A$2:$A$22000=$A$1,ROW(Sheet1!$B$2:$B$22000)),ROW($A21:$F21))-1,5)</f>
        <v>0</v>
      </c>
      <c r="M23" s="9">
        <v>21</v>
      </c>
      <c r="N23" s="10">
        <f t="shared" si="2"/>
        <v>0</v>
      </c>
      <c r="O23" s="11">
        <f t="shared" si="3"/>
        <v>0</v>
      </c>
      <c r="P23" s="12">
        <f t="shared" si="4"/>
        <v>0</v>
      </c>
      <c r="Q23" s="13">
        <f t="shared" si="5"/>
        <v>0</v>
      </c>
      <c r="V23" s="14">
        <f t="shared" si="0"/>
        <v>4.1015625E-2</v>
      </c>
      <c r="W23" s="10">
        <f t="shared" si="6"/>
        <v>0</v>
      </c>
      <c r="X23" s="11">
        <f t="shared" si="6"/>
        <v>0</v>
      </c>
      <c r="Y23" s="12">
        <f t="shared" si="6"/>
        <v>0</v>
      </c>
      <c r="Z23" s="13">
        <f t="shared" si="6"/>
        <v>0</v>
      </c>
    </row>
    <row r="24" spans="1:26" x14ac:dyDescent="0.25">
      <c r="A24" s="4"/>
      <c r="B24" s="4">
        <v>22</v>
      </c>
      <c r="C24" s="4">
        <f t="array" ref="C24">INDEX(Sheet1!$B$2:$F$22000,SMALL(IF(Sheet1!$A$2:$A$22000=$A$1,ROW(Sheet1!$B$2:$B$22000)),ROW($A22:$F22))-1,2)</f>
        <v>0</v>
      </c>
      <c r="D24" s="4">
        <f t="array" ref="D24">INDEX(Sheet1!$B$2:$F$22000,SMALL(IF(Sheet1!$A$2:$A$22000=$A$1,ROW(Sheet1!$B$2:$B$22000)),ROW($A22:$F22))-1,3)</f>
        <v>0</v>
      </c>
      <c r="E24" s="4">
        <f t="array" ref="E24">INDEX(Sheet1!$B$2:$F$22000,SMALL(IF(Sheet1!$A$2:$A$22000=$A$1,ROW(Sheet1!$B$2:$B$22000)),ROW($A22:$F22))-1,4)</f>
        <v>0</v>
      </c>
      <c r="F24" s="4">
        <f t="array" ref="F24">INDEX(Sheet1!$B$2:$F$22000,SMALL(IF(Sheet1!$A$2:$A$22000=$A$1,ROW(Sheet1!$B$2:$B$22000)),ROW($A22:$F22))-1,5)</f>
        <v>0</v>
      </c>
      <c r="M24" s="9">
        <v>22</v>
      </c>
      <c r="N24" s="10">
        <f t="shared" si="2"/>
        <v>0</v>
      </c>
      <c r="O24" s="11">
        <f t="shared" si="3"/>
        <v>0</v>
      </c>
      <c r="P24" s="12">
        <f t="shared" si="4"/>
        <v>0</v>
      </c>
      <c r="Q24" s="13">
        <f t="shared" si="5"/>
        <v>0</v>
      </c>
      <c r="V24" s="14">
        <f t="shared" si="0"/>
        <v>4.296875E-2</v>
      </c>
      <c r="W24" s="10">
        <f t="shared" si="6"/>
        <v>0</v>
      </c>
      <c r="X24" s="11">
        <f t="shared" si="6"/>
        <v>0</v>
      </c>
      <c r="Y24" s="12">
        <f t="shared" si="6"/>
        <v>0</v>
      </c>
      <c r="Z24" s="13">
        <f t="shared" si="6"/>
        <v>0</v>
      </c>
    </row>
    <row r="25" spans="1:26" x14ac:dyDescent="0.25">
      <c r="A25" s="4"/>
      <c r="B25" s="4">
        <v>23</v>
      </c>
      <c r="C25" s="4">
        <f t="array" ref="C25">INDEX(Sheet1!$B$2:$F$22000,SMALL(IF(Sheet1!$A$2:$A$22000=$A$1,ROW(Sheet1!$B$2:$B$22000)),ROW($A23:$F23))-1,2)</f>
        <v>0</v>
      </c>
      <c r="D25" s="4">
        <f t="array" ref="D25">INDEX(Sheet1!$B$2:$F$22000,SMALL(IF(Sheet1!$A$2:$A$22000=$A$1,ROW(Sheet1!$B$2:$B$22000)),ROW($A23:$F23))-1,3)</f>
        <v>0</v>
      </c>
      <c r="E25" s="4">
        <f t="array" ref="E25">INDEX(Sheet1!$B$2:$F$22000,SMALL(IF(Sheet1!$A$2:$A$22000=$A$1,ROW(Sheet1!$B$2:$B$22000)),ROW($A23:$F23))-1,4)</f>
        <v>0</v>
      </c>
      <c r="F25" s="4">
        <f t="array" ref="F25">INDEX(Sheet1!$B$2:$F$22000,SMALL(IF(Sheet1!$A$2:$A$22000=$A$1,ROW(Sheet1!$B$2:$B$22000)),ROW($A23:$F23))-1,5)</f>
        <v>0</v>
      </c>
      <c r="M25" s="9">
        <v>23</v>
      </c>
      <c r="N25" s="10">
        <f t="shared" si="2"/>
        <v>0</v>
      </c>
      <c r="O25" s="11">
        <f t="shared" si="3"/>
        <v>0</v>
      </c>
      <c r="P25" s="12">
        <f t="shared" si="4"/>
        <v>0</v>
      </c>
      <c r="Q25" s="13">
        <f t="shared" si="5"/>
        <v>0</v>
      </c>
      <c r="V25" s="14">
        <f t="shared" si="0"/>
        <v>4.4921875E-2</v>
      </c>
      <c r="W25" s="10">
        <f t="shared" si="6"/>
        <v>0</v>
      </c>
      <c r="X25" s="11">
        <f t="shared" si="6"/>
        <v>0</v>
      </c>
      <c r="Y25" s="12">
        <f t="shared" si="6"/>
        <v>0</v>
      </c>
      <c r="Z25" s="13">
        <f t="shared" si="6"/>
        <v>0</v>
      </c>
    </row>
    <row r="26" spans="1:26" x14ac:dyDescent="0.25">
      <c r="A26" s="4"/>
      <c r="B26" s="4">
        <v>24</v>
      </c>
      <c r="C26" s="4">
        <f t="array" ref="C26">INDEX(Sheet1!$B$2:$F$22000,SMALL(IF(Sheet1!$A$2:$A$22000=$A$1,ROW(Sheet1!$B$2:$B$22000)),ROW($A24:$F24))-1,2)</f>
        <v>0</v>
      </c>
      <c r="D26" s="4">
        <f t="array" ref="D26">INDEX(Sheet1!$B$2:$F$22000,SMALL(IF(Sheet1!$A$2:$A$22000=$A$1,ROW(Sheet1!$B$2:$B$22000)),ROW($A24:$F24))-1,3)</f>
        <v>0</v>
      </c>
      <c r="E26" s="4">
        <f t="array" ref="E26">INDEX(Sheet1!$B$2:$F$22000,SMALL(IF(Sheet1!$A$2:$A$22000=$A$1,ROW(Sheet1!$B$2:$B$22000)),ROW($A24:$F24))-1,4)</f>
        <v>0</v>
      </c>
      <c r="F26" s="4">
        <f t="array" ref="F26">INDEX(Sheet1!$B$2:$F$22000,SMALL(IF(Sheet1!$A$2:$A$22000=$A$1,ROW(Sheet1!$B$2:$B$22000)),ROW($A24:$F24))-1,5)</f>
        <v>0</v>
      </c>
      <c r="M26" s="9">
        <v>24</v>
      </c>
      <c r="N26" s="10">
        <f t="shared" si="2"/>
        <v>0</v>
      </c>
      <c r="O26" s="11">
        <f t="shared" si="3"/>
        <v>0</v>
      </c>
      <c r="P26" s="12">
        <f t="shared" si="4"/>
        <v>0</v>
      </c>
      <c r="Q26" s="13">
        <f t="shared" si="5"/>
        <v>0</v>
      </c>
      <c r="V26" s="14">
        <f t="shared" si="0"/>
        <v>4.6875E-2</v>
      </c>
      <c r="W26" s="10">
        <f t="shared" si="6"/>
        <v>0</v>
      </c>
      <c r="X26" s="11">
        <f t="shared" si="6"/>
        <v>0</v>
      </c>
      <c r="Y26" s="12">
        <f t="shared" si="6"/>
        <v>0</v>
      </c>
      <c r="Z26" s="13">
        <f t="shared" si="6"/>
        <v>0</v>
      </c>
    </row>
    <row r="27" spans="1:26" x14ac:dyDescent="0.25">
      <c r="A27" s="4"/>
      <c r="B27" s="4">
        <v>25</v>
      </c>
      <c r="C27" s="4">
        <f t="array" ref="C27">INDEX(Sheet1!$B$2:$F$22000,SMALL(IF(Sheet1!$A$2:$A$22000=$A$1,ROW(Sheet1!$B$2:$B$22000)),ROW($A25:$F25))-1,2)</f>
        <v>0</v>
      </c>
      <c r="D27" s="4">
        <f t="array" ref="D27">INDEX(Sheet1!$B$2:$F$22000,SMALL(IF(Sheet1!$A$2:$A$22000=$A$1,ROW(Sheet1!$B$2:$B$22000)),ROW($A25:$F25))-1,3)</f>
        <v>0</v>
      </c>
      <c r="E27" s="4">
        <f t="array" ref="E27">INDEX(Sheet1!$B$2:$F$22000,SMALL(IF(Sheet1!$A$2:$A$22000=$A$1,ROW(Sheet1!$B$2:$B$22000)),ROW($A25:$F25))-1,4)</f>
        <v>0</v>
      </c>
      <c r="F27" s="4">
        <f t="array" ref="F27">INDEX(Sheet1!$B$2:$F$22000,SMALL(IF(Sheet1!$A$2:$A$22000=$A$1,ROW(Sheet1!$B$2:$B$22000)),ROW($A25:$F25))-1,5)</f>
        <v>0</v>
      </c>
      <c r="M27" s="9">
        <v>25</v>
      </c>
      <c r="N27" s="10">
        <f t="shared" si="2"/>
        <v>0</v>
      </c>
      <c r="O27" s="11">
        <f t="shared" si="3"/>
        <v>0</v>
      </c>
      <c r="P27" s="12">
        <f t="shared" si="4"/>
        <v>0</v>
      </c>
      <c r="Q27" s="13">
        <f t="shared" si="5"/>
        <v>0</v>
      </c>
      <c r="V27" s="14">
        <f t="shared" si="0"/>
        <v>4.8828125E-2</v>
      </c>
      <c r="W27" s="10">
        <f t="shared" si="6"/>
        <v>0</v>
      </c>
      <c r="X27" s="11">
        <f t="shared" si="6"/>
        <v>0</v>
      </c>
      <c r="Y27" s="12">
        <f t="shared" si="6"/>
        <v>0</v>
      </c>
      <c r="Z27" s="13">
        <f t="shared" si="6"/>
        <v>0</v>
      </c>
    </row>
    <row r="28" spans="1:26" x14ac:dyDescent="0.25">
      <c r="A28" s="4"/>
      <c r="B28" s="4">
        <v>26</v>
      </c>
      <c r="C28" s="4">
        <f t="array" ref="C28">INDEX(Sheet1!$B$2:$F$22000,SMALL(IF(Sheet1!$A$2:$A$22000=$A$1,ROW(Sheet1!$B$2:$B$22000)),ROW($A26:$F26))-1,2)</f>
        <v>0</v>
      </c>
      <c r="D28" s="4">
        <f t="array" ref="D28">INDEX(Sheet1!$B$2:$F$22000,SMALL(IF(Sheet1!$A$2:$A$22000=$A$1,ROW(Sheet1!$B$2:$B$22000)),ROW($A26:$F26))-1,3)</f>
        <v>0</v>
      </c>
      <c r="E28" s="4">
        <f t="array" ref="E28">INDEX(Sheet1!$B$2:$F$22000,SMALL(IF(Sheet1!$A$2:$A$22000=$A$1,ROW(Sheet1!$B$2:$B$22000)),ROW($A26:$F26))-1,4)</f>
        <v>0</v>
      </c>
      <c r="F28" s="4">
        <f t="array" ref="F28">INDEX(Sheet1!$B$2:$F$22000,SMALL(IF(Sheet1!$A$2:$A$22000=$A$1,ROW(Sheet1!$B$2:$B$22000)),ROW($A26:$F26))-1,5)</f>
        <v>0</v>
      </c>
      <c r="M28" s="9">
        <v>26</v>
      </c>
      <c r="N28" s="10">
        <f t="shared" si="2"/>
        <v>0</v>
      </c>
      <c r="O28" s="11">
        <f t="shared" si="3"/>
        <v>0</v>
      </c>
      <c r="P28" s="12">
        <f t="shared" si="4"/>
        <v>0</v>
      </c>
      <c r="Q28" s="13">
        <f t="shared" si="5"/>
        <v>0</v>
      </c>
      <c r="V28" s="14">
        <f t="shared" si="0"/>
        <v>5.078125E-2</v>
      </c>
      <c r="W28" s="10">
        <f t="shared" si="6"/>
        <v>0</v>
      </c>
      <c r="X28" s="11">
        <f t="shared" si="6"/>
        <v>0</v>
      </c>
      <c r="Y28" s="12">
        <f t="shared" si="6"/>
        <v>0</v>
      </c>
      <c r="Z28" s="13">
        <f t="shared" si="6"/>
        <v>0</v>
      </c>
    </row>
    <row r="29" spans="1:26" x14ac:dyDescent="0.25">
      <c r="A29" s="4"/>
      <c r="B29" s="4">
        <v>27</v>
      </c>
      <c r="C29" s="4">
        <f t="array" ref="C29">INDEX(Sheet1!$B$2:$F$22000,SMALL(IF(Sheet1!$A$2:$A$22000=$A$1,ROW(Sheet1!$B$2:$B$22000)),ROW($A27:$F27))-1,2)</f>
        <v>0</v>
      </c>
      <c r="D29" s="4">
        <f t="array" ref="D29">INDEX(Sheet1!$B$2:$F$22000,SMALL(IF(Sheet1!$A$2:$A$22000=$A$1,ROW(Sheet1!$B$2:$B$22000)),ROW($A27:$F27))-1,3)</f>
        <v>0</v>
      </c>
      <c r="E29" s="4">
        <f t="array" ref="E29">INDEX(Sheet1!$B$2:$F$22000,SMALL(IF(Sheet1!$A$2:$A$22000=$A$1,ROW(Sheet1!$B$2:$B$22000)),ROW($A27:$F27))-1,4)</f>
        <v>0</v>
      </c>
      <c r="F29" s="4">
        <f t="array" ref="F29">INDEX(Sheet1!$B$2:$F$22000,SMALL(IF(Sheet1!$A$2:$A$22000=$A$1,ROW(Sheet1!$B$2:$B$22000)),ROW($A27:$F27))-1,5)</f>
        <v>0</v>
      </c>
      <c r="M29" s="9">
        <v>27</v>
      </c>
      <c r="N29" s="10">
        <f t="shared" si="2"/>
        <v>0</v>
      </c>
      <c r="O29" s="11">
        <f t="shared" si="3"/>
        <v>0</v>
      </c>
      <c r="P29" s="12">
        <f t="shared" si="4"/>
        <v>0</v>
      </c>
      <c r="Q29" s="13">
        <f t="shared" si="5"/>
        <v>0</v>
      </c>
      <c r="V29" s="14">
        <f t="shared" si="0"/>
        <v>5.2734375E-2</v>
      </c>
      <c r="W29" s="10">
        <f t="shared" si="6"/>
        <v>0</v>
      </c>
      <c r="X29" s="11">
        <f t="shared" si="6"/>
        <v>0</v>
      </c>
      <c r="Y29" s="12">
        <f t="shared" si="6"/>
        <v>0</v>
      </c>
      <c r="Z29" s="13">
        <f t="shared" si="6"/>
        <v>0</v>
      </c>
    </row>
    <row r="30" spans="1:26" x14ac:dyDescent="0.25">
      <c r="A30" s="4"/>
      <c r="B30" s="4">
        <v>28</v>
      </c>
      <c r="C30" s="4">
        <f t="array" ref="C30">INDEX(Sheet1!$B$2:$F$22000,SMALL(IF(Sheet1!$A$2:$A$22000=$A$1,ROW(Sheet1!$B$2:$B$22000)),ROW($A28:$F28))-1,2)</f>
        <v>0</v>
      </c>
      <c r="D30" s="4">
        <f t="array" ref="D30">INDEX(Sheet1!$B$2:$F$22000,SMALL(IF(Sheet1!$A$2:$A$22000=$A$1,ROW(Sheet1!$B$2:$B$22000)),ROW($A28:$F28))-1,3)</f>
        <v>0</v>
      </c>
      <c r="E30" s="4">
        <f t="array" ref="E30">INDEX(Sheet1!$B$2:$F$22000,SMALL(IF(Sheet1!$A$2:$A$22000=$A$1,ROW(Sheet1!$B$2:$B$22000)),ROW($A28:$F28))-1,4)</f>
        <v>0</v>
      </c>
      <c r="F30" s="4">
        <f t="array" ref="F30">INDEX(Sheet1!$B$2:$F$22000,SMALL(IF(Sheet1!$A$2:$A$22000=$A$1,ROW(Sheet1!$B$2:$B$22000)),ROW($A28:$F28))-1,5)</f>
        <v>0</v>
      </c>
      <c r="M30" s="9">
        <v>28</v>
      </c>
      <c r="N30" s="10">
        <f t="shared" si="2"/>
        <v>0</v>
      </c>
      <c r="O30" s="11">
        <f t="shared" si="3"/>
        <v>0</v>
      </c>
      <c r="P30" s="12">
        <f t="shared" si="4"/>
        <v>0</v>
      </c>
      <c r="Q30" s="13">
        <f t="shared" si="5"/>
        <v>0</v>
      </c>
      <c r="V30" s="14">
        <f t="shared" si="0"/>
        <v>5.46875E-2</v>
      </c>
      <c r="W30" s="10">
        <f t="shared" si="6"/>
        <v>0</v>
      </c>
      <c r="X30" s="11">
        <f t="shared" si="6"/>
        <v>0</v>
      </c>
      <c r="Y30" s="12">
        <f t="shared" si="6"/>
        <v>0</v>
      </c>
      <c r="Z30" s="13">
        <f t="shared" si="6"/>
        <v>0</v>
      </c>
    </row>
    <row r="31" spans="1:26" x14ac:dyDescent="0.25">
      <c r="A31" s="4"/>
      <c r="B31" s="4">
        <v>29</v>
      </c>
      <c r="C31" s="4">
        <f t="array" ref="C31">INDEX(Sheet1!$B$2:$F$22000,SMALL(IF(Sheet1!$A$2:$A$22000=$A$1,ROW(Sheet1!$B$2:$B$22000)),ROW($A29:$F29))-1,2)</f>
        <v>0</v>
      </c>
      <c r="D31" s="4">
        <f t="array" ref="D31">INDEX(Sheet1!$B$2:$F$22000,SMALL(IF(Sheet1!$A$2:$A$22000=$A$1,ROW(Sheet1!$B$2:$B$22000)),ROW($A29:$F29))-1,3)</f>
        <v>0</v>
      </c>
      <c r="E31" s="4">
        <f t="array" ref="E31">INDEX(Sheet1!$B$2:$F$22000,SMALL(IF(Sheet1!$A$2:$A$22000=$A$1,ROW(Sheet1!$B$2:$B$22000)),ROW($A29:$F29))-1,4)</f>
        <v>0</v>
      </c>
      <c r="F31" s="4">
        <f t="array" ref="F31">INDEX(Sheet1!$B$2:$F$22000,SMALL(IF(Sheet1!$A$2:$A$22000=$A$1,ROW(Sheet1!$B$2:$B$22000)),ROW($A29:$F29))-1,5)</f>
        <v>0</v>
      </c>
      <c r="M31" s="9">
        <v>29</v>
      </c>
      <c r="N31" s="10">
        <f t="shared" si="2"/>
        <v>0</v>
      </c>
      <c r="O31" s="11">
        <f t="shared" si="3"/>
        <v>0</v>
      </c>
      <c r="P31" s="12">
        <f t="shared" si="4"/>
        <v>0</v>
      </c>
      <c r="Q31" s="13">
        <f t="shared" si="5"/>
        <v>0</v>
      </c>
      <c r="V31" s="14">
        <f t="shared" si="0"/>
        <v>5.6640625E-2</v>
      </c>
      <c r="W31" s="10">
        <f t="shared" si="6"/>
        <v>0</v>
      </c>
      <c r="X31" s="11">
        <f t="shared" si="6"/>
        <v>0</v>
      </c>
      <c r="Y31" s="12">
        <f t="shared" si="6"/>
        <v>0</v>
      </c>
      <c r="Z31" s="13">
        <f t="shared" si="6"/>
        <v>0</v>
      </c>
    </row>
    <row r="32" spans="1:26" x14ac:dyDescent="0.25">
      <c r="A32" s="4"/>
      <c r="B32" s="4">
        <v>30</v>
      </c>
      <c r="C32" s="4">
        <f t="array" ref="C32">INDEX(Sheet1!$B$2:$F$22000,SMALL(IF(Sheet1!$A$2:$A$22000=$A$1,ROW(Sheet1!$B$2:$B$22000)),ROW($A30:$F30))-1,2)</f>
        <v>0</v>
      </c>
      <c r="D32" s="4">
        <f t="array" ref="D32">INDEX(Sheet1!$B$2:$F$22000,SMALL(IF(Sheet1!$A$2:$A$22000=$A$1,ROW(Sheet1!$B$2:$B$22000)),ROW($A30:$F30))-1,3)</f>
        <v>0</v>
      </c>
      <c r="E32" s="4">
        <f t="array" ref="E32">INDEX(Sheet1!$B$2:$F$22000,SMALL(IF(Sheet1!$A$2:$A$22000=$A$1,ROW(Sheet1!$B$2:$B$22000)),ROW($A30:$F30))-1,4)</f>
        <v>0</v>
      </c>
      <c r="F32" s="4">
        <f t="array" ref="F32">INDEX(Sheet1!$B$2:$F$22000,SMALL(IF(Sheet1!$A$2:$A$22000=$A$1,ROW(Sheet1!$B$2:$B$22000)),ROW($A30:$F30))-1,5)</f>
        <v>0</v>
      </c>
      <c r="M32" s="9">
        <v>30</v>
      </c>
      <c r="N32" s="10">
        <f t="shared" si="2"/>
        <v>0</v>
      </c>
      <c r="O32" s="11">
        <f t="shared" si="3"/>
        <v>0</v>
      </c>
      <c r="P32" s="12">
        <f t="shared" si="4"/>
        <v>0</v>
      </c>
      <c r="Q32" s="13">
        <f t="shared" si="5"/>
        <v>0</v>
      </c>
      <c r="V32" s="14">
        <f t="shared" si="0"/>
        <v>5.859375E-2</v>
      </c>
      <c r="W32" s="10">
        <f t="shared" si="6"/>
        <v>0</v>
      </c>
      <c r="X32" s="11">
        <f t="shared" si="6"/>
        <v>0</v>
      </c>
      <c r="Y32" s="12">
        <f t="shared" si="6"/>
        <v>0</v>
      </c>
      <c r="Z32" s="13">
        <f t="shared" si="6"/>
        <v>0</v>
      </c>
    </row>
    <row r="33" spans="1:26" x14ac:dyDescent="0.25">
      <c r="A33" s="4"/>
      <c r="B33" s="4">
        <v>31</v>
      </c>
      <c r="C33" s="4">
        <f t="array" ref="C33">INDEX(Sheet1!$B$2:$F$22000,SMALL(IF(Sheet1!$A$2:$A$22000=$A$1,ROW(Sheet1!$B$2:$B$22000)),ROW($A31:$F31))-1,2)</f>
        <v>0</v>
      </c>
      <c r="D33" s="4">
        <f t="array" ref="D33">INDEX(Sheet1!$B$2:$F$22000,SMALL(IF(Sheet1!$A$2:$A$22000=$A$1,ROW(Sheet1!$B$2:$B$22000)),ROW($A31:$F31))-1,3)</f>
        <v>0</v>
      </c>
      <c r="E33" s="4">
        <f t="array" ref="E33">INDEX(Sheet1!$B$2:$F$22000,SMALL(IF(Sheet1!$A$2:$A$22000=$A$1,ROW(Sheet1!$B$2:$B$22000)),ROW($A31:$F31))-1,4)</f>
        <v>0</v>
      </c>
      <c r="F33" s="4">
        <f t="array" ref="F33">INDEX(Sheet1!$B$2:$F$22000,SMALL(IF(Sheet1!$A$2:$A$22000=$A$1,ROW(Sheet1!$B$2:$B$22000)),ROW($A31:$F31))-1,5)</f>
        <v>0</v>
      </c>
      <c r="M33" s="9">
        <v>31</v>
      </c>
      <c r="N33" s="10">
        <f t="shared" si="2"/>
        <v>0</v>
      </c>
      <c r="O33" s="11">
        <f t="shared" si="3"/>
        <v>0</v>
      </c>
      <c r="P33" s="12">
        <f t="shared" si="4"/>
        <v>0</v>
      </c>
      <c r="Q33" s="13">
        <f t="shared" si="5"/>
        <v>0</v>
      </c>
      <c r="V33" s="14">
        <f t="shared" si="0"/>
        <v>6.0546875E-2</v>
      </c>
      <c r="W33" s="10">
        <f t="shared" si="6"/>
        <v>0</v>
      </c>
      <c r="X33" s="11">
        <f t="shared" si="6"/>
        <v>0</v>
      </c>
      <c r="Y33" s="12">
        <f t="shared" si="6"/>
        <v>0</v>
      </c>
      <c r="Z33" s="13">
        <f t="shared" si="6"/>
        <v>0</v>
      </c>
    </row>
    <row r="34" spans="1:26" x14ac:dyDescent="0.25">
      <c r="A34" s="4"/>
      <c r="B34" s="4">
        <v>32</v>
      </c>
      <c r="C34" s="4">
        <f t="array" ref="C34">INDEX(Sheet1!$B$2:$F$22000,SMALL(IF(Sheet1!$A$2:$A$22000=$A$1,ROW(Sheet1!$B$2:$B$22000)),ROW($A32:$F32))-1,2)</f>
        <v>0</v>
      </c>
      <c r="D34" s="4">
        <f t="array" ref="D34">INDEX(Sheet1!$B$2:$F$22000,SMALL(IF(Sheet1!$A$2:$A$22000=$A$1,ROW(Sheet1!$B$2:$B$22000)),ROW($A32:$F32))-1,3)</f>
        <v>0</v>
      </c>
      <c r="E34" s="4">
        <f t="array" ref="E34">INDEX(Sheet1!$B$2:$F$22000,SMALL(IF(Sheet1!$A$2:$A$22000=$A$1,ROW(Sheet1!$B$2:$B$22000)),ROW($A32:$F32))-1,4)</f>
        <v>0</v>
      </c>
      <c r="F34" s="4">
        <f t="array" ref="F34">INDEX(Sheet1!$B$2:$F$22000,SMALL(IF(Sheet1!$A$2:$A$22000=$A$1,ROW(Sheet1!$B$2:$B$22000)),ROW($A32:$F32))-1,5)</f>
        <v>0</v>
      </c>
      <c r="M34" s="9">
        <v>32</v>
      </c>
      <c r="N34" s="10">
        <f t="shared" si="2"/>
        <v>0</v>
      </c>
      <c r="O34" s="11">
        <f t="shared" si="3"/>
        <v>0</v>
      </c>
      <c r="P34" s="12">
        <f t="shared" si="4"/>
        <v>0</v>
      </c>
      <c r="Q34" s="13">
        <f t="shared" si="5"/>
        <v>0</v>
      </c>
      <c r="V34" s="14">
        <f t="shared" si="0"/>
        <v>6.25E-2</v>
      </c>
      <c r="W34" s="10">
        <f t="shared" si="6"/>
        <v>0</v>
      </c>
      <c r="X34" s="11">
        <f t="shared" si="6"/>
        <v>0</v>
      </c>
      <c r="Y34" s="12">
        <f t="shared" si="6"/>
        <v>0</v>
      </c>
      <c r="Z34" s="13">
        <f t="shared" si="6"/>
        <v>0</v>
      </c>
    </row>
    <row r="35" spans="1:26" x14ac:dyDescent="0.25">
      <c r="A35" s="4"/>
      <c r="B35" s="4">
        <v>33</v>
      </c>
      <c r="C35" s="4">
        <f t="array" ref="C35">INDEX(Sheet1!$B$2:$F$22000,SMALL(IF(Sheet1!$A$2:$A$22000=$A$1,ROW(Sheet1!$B$2:$B$22000)),ROW($A33:$F33))-1,2)</f>
        <v>0</v>
      </c>
      <c r="D35" s="4">
        <f t="array" ref="D35">INDEX(Sheet1!$B$2:$F$22000,SMALL(IF(Sheet1!$A$2:$A$22000=$A$1,ROW(Sheet1!$B$2:$B$22000)),ROW($A33:$F33))-1,3)</f>
        <v>0</v>
      </c>
      <c r="E35" s="4">
        <f t="array" ref="E35">INDEX(Sheet1!$B$2:$F$22000,SMALL(IF(Sheet1!$A$2:$A$22000=$A$1,ROW(Sheet1!$B$2:$B$22000)),ROW($A33:$F33))-1,4)</f>
        <v>0</v>
      </c>
      <c r="F35" s="4">
        <f t="array" ref="F35">INDEX(Sheet1!$B$2:$F$22000,SMALL(IF(Sheet1!$A$2:$A$22000=$A$1,ROW(Sheet1!$B$2:$B$22000)),ROW($A33:$F33))-1,5)</f>
        <v>0</v>
      </c>
      <c r="M35" s="9">
        <v>33</v>
      </c>
      <c r="N35" s="10">
        <f t="shared" si="2"/>
        <v>0</v>
      </c>
      <c r="O35" s="11">
        <f t="shared" si="3"/>
        <v>0</v>
      </c>
      <c r="P35" s="12">
        <f t="shared" si="4"/>
        <v>0</v>
      </c>
      <c r="Q35" s="13">
        <f t="shared" si="5"/>
        <v>0</v>
      </c>
      <c r="V35" s="14">
        <f t="shared" si="0"/>
        <v>6.4453125E-2</v>
      </c>
      <c r="W35" s="10">
        <f t="shared" si="6"/>
        <v>0</v>
      </c>
      <c r="X35" s="11">
        <f t="shared" si="6"/>
        <v>0</v>
      </c>
      <c r="Y35" s="12">
        <f t="shared" si="6"/>
        <v>0</v>
      </c>
      <c r="Z35" s="13">
        <f t="shared" si="6"/>
        <v>0</v>
      </c>
    </row>
    <row r="36" spans="1:26" x14ac:dyDescent="0.25">
      <c r="A36" s="4"/>
      <c r="B36" s="4">
        <v>34</v>
      </c>
      <c r="C36" s="4">
        <f t="array" ref="C36">INDEX(Sheet1!$B$2:$F$22000,SMALL(IF(Sheet1!$A$2:$A$22000=$A$1,ROW(Sheet1!$B$2:$B$22000)),ROW($A34:$F34))-1,2)</f>
        <v>0</v>
      </c>
      <c r="D36" s="4">
        <f t="array" ref="D36">INDEX(Sheet1!$B$2:$F$22000,SMALL(IF(Sheet1!$A$2:$A$22000=$A$1,ROW(Sheet1!$B$2:$B$22000)),ROW($A34:$F34))-1,3)</f>
        <v>0</v>
      </c>
      <c r="E36" s="4">
        <f t="array" ref="E36">INDEX(Sheet1!$B$2:$F$22000,SMALL(IF(Sheet1!$A$2:$A$22000=$A$1,ROW(Sheet1!$B$2:$B$22000)),ROW($A34:$F34))-1,4)</f>
        <v>0</v>
      </c>
      <c r="F36" s="4">
        <f t="array" ref="F36">INDEX(Sheet1!$B$2:$F$22000,SMALL(IF(Sheet1!$A$2:$A$22000=$A$1,ROW(Sheet1!$B$2:$B$22000)),ROW($A34:$F34))-1,5)</f>
        <v>0</v>
      </c>
      <c r="M36" s="9">
        <v>34</v>
      </c>
      <c r="N36" s="10">
        <f t="shared" si="2"/>
        <v>0</v>
      </c>
      <c r="O36" s="11">
        <f t="shared" si="3"/>
        <v>0</v>
      </c>
      <c r="P36" s="12">
        <f t="shared" si="4"/>
        <v>0</v>
      </c>
      <c r="Q36" s="13">
        <f t="shared" si="5"/>
        <v>0</v>
      </c>
      <c r="V36" s="14">
        <f t="shared" si="0"/>
        <v>6.640625E-2</v>
      </c>
      <c r="W36" s="10">
        <f t="shared" si="6"/>
        <v>0</v>
      </c>
      <c r="X36" s="11">
        <f t="shared" si="6"/>
        <v>0</v>
      </c>
      <c r="Y36" s="12">
        <f t="shared" si="6"/>
        <v>0</v>
      </c>
      <c r="Z36" s="13">
        <f t="shared" si="6"/>
        <v>0</v>
      </c>
    </row>
    <row r="37" spans="1:26" x14ac:dyDescent="0.25">
      <c r="A37" s="4"/>
      <c r="B37" s="4">
        <v>35</v>
      </c>
      <c r="C37" s="4">
        <f t="array" ref="C37">INDEX(Sheet1!$B$2:$F$22000,SMALL(IF(Sheet1!$A$2:$A$22000=$A$1,ROW(Sheet1!$B$2:$B$22000)),ROW($A35:$F35))-1,2)</f>
        <v>0</v>
      </c>
      <c r="D37" s="4">
        <f t="array" ref="D37">INDEX(Sheet1!$B$2:$F$22000,SMALL(IF(Sheet1!$A$2:$A$22000=$A$1,ROW(Sheet1!$B$2:$B$22000)),ROW($A35:$F35))-1,3)</f>
        <v>0</v>
      </c>
      <c r="E37" s="4">
        <f t="array" ref="E37">INDEX(Sheet1!$B$2:$F$22000,SMALL(IF(Sheet1!$A$2:$A$22000=$A$1,ROW(Sheet1!$B$2:$B$22000)),ROW($A35:$F35))-1,4)</f>
        <v>0</v>
      </c>
      <c r="F37" s="4">
        <f t="array" ref="F37">INDEX(Sheet1!$B$2:$F$22000,SMALL(IF(Sheet1!$A$2:$A$22000=$A$1,ROW(Sheet1!$B$2:$B$22000)),ROW($A35:$F35))-1,5)</f>
        <v>0</v>
      </c>
      <c r="M37" s="9">
        <v>35</v>
      </c>
      <c r="N37" s="10">
        <f t="shared" si="2"/>
        <v>0</v>
      </c>
      <c r="O37" s="11">
        <f t="shared" si="3"/>
        <v>0</v>
      </c>
      <c r="P37" s="12">
        <f t="shared" si="4"/>
        <v>0</v>
      </c>
      <c r="Q37" s="13">
        <f t="shared" si="5"/>
        <v>0</v>
      </c>
      <c r="V37" s="14">
        <f t="shared" si="0"/>
        <v>6.8359375E-2</v>
      </c>
      <c r="W37" s="10">
        <f t="shared" si="6"/>
        <v>0</v>
      </c>
      <c r="X37" s="11">
        <f t="shared" si="6"/>
        <v>0</v>
      </c>
      <c r="Y37" s="12">
        <f t="shared" si="6"/>
        <v>0</v>
      </c>
      <c r="Z37" s="13">
        <f t="shared" si="6"/>
        <v>0</v>
      </c>
    </row>
    <row r="38" spans="1:26" x14ac:dyDescent="0.25">
      <c r="A38" s="4"/>
      <c r="B38" s="4">
        <v>36</v>
      </c>
      <c r="C38" s="4">
        <f t="array" ref="C38">INDEX(Sheet1!$B$2:$F$22000,SMALL(IF(Sheet1!$A$2:$A$22000=$A$1,ROW(Sheet1!$B$2:$B$22000)),ROW($A36:$F36))-1,2)</f>
        <v>0</v>
      </c>
      <c r="D38" s="4">
        <f t="array" ref="D38">INDEX(Sheet1!$B$2:$F$22000,SMALL(IF(Sheet1!$A$2:$A$22000=$A$1,ROW(Sheet1!$B$2:$B$22000)),ROW($A36:$F36))-1,3)</f>
        <v>0</v>
      </c>
      <c r="E38" s="4">
        <f t="array" ref="E38">INDEX(Sheet1!$B$2:$F$22000,SMALL(IF(Sheet1!$A$2:$A$22000=$A$1,ROW(Sheet1!$B$2:$B$22000)),ROW($A36:$F36))-1,4)</f>
        <v>0</v>
      </c>
      <c r="F38" s="4">
        <f t="array" ref="F38">INDEX(Sheet1!$B$2:$F$22000,SMALL(IF(Sheet1!$A$2:$A$22000=$A$1,ROW(Sheet1!$B$2:$B$22000)),ROW($A36:$F36))-1,5)</f>
        <v>0</v>
      </c>
      <c r="M38" s="9">
        <v>36</v>
      </c>
      <c r="N38" s="10">
        <f t="shared" si="2"/>
        <v>0</v>
      </c>
      <c r="O38" s="11">
        <f t="shared" si="3"/>
        <v>0</v>
      </c>
      <c r="P38" s="12">
        <f t="shared" si="4"/>
        <v>0</v>
      </c>
      <c r="Q38" s="13">
        <f t="shared" si="5"/>
        <v>0</v>
      </c>
      <c r="V38" s="14">
        <f t="shared" si="0"/>
        <v>7.03125E-2</v>
      </c>
      <c r="W38" s="10">
        <f t="shared" si="6"/>
        <v>0</v>
      </c>
      <c r="X38" s="11">
        <f t="shared" si="6"/>
        <v>0</v>
      </c>
      <c r="Y38" s="12">
        <f t="shared" si="6"/>
        <v>0</v>
      </c>
      <c r="Z38" s="13">
        <f t="shared" si="6"/>
        <v>0</v>
      </c>
    </row>
    <row r="39" spans="1:26" x14ac:dyDescent="0.25">
      <c r="A39" s="4"/>
      <c r="B39" s="4">
        <v>37</v>
      </c>
      <c r="C39" s="4">
        <f t="array" ref="C39">INDEX(Sheet1!$B$2:$F$22000,SMALL(IF(Sheet1!$A$2:$A$22000=$A$1,ROW(Sheet1!$B$2:$B$22000)),ROW($A37:$F37))-1,2)</f>
        <v>0</v>
      </c>
      <c r="D39" s="4">
        <f t="array" ref="D39">INDEX(Sheet1!$B$2:$F$22000,SMALL(IF(Sheet1!$A$2:$A$22000=$A$1,ROW(Sheet1!$B$2:$B$22000)),ROW($A37:$F37))-1,3)</f>
        <v>0</v>
      </c>
      <c r="E39" s="4">
        <f t="array" ref="E39">INDEX(Sheet1!$B$2:$F$22000,SMALL(IF(Sheet1!$A$2:$A$22000=$A$1,ROW(Sheet1!$B$2:$B$22000)),ROW($A37:$F37))-1,4)</f>
        <v>0</v>
      </c>
      <c r="F39" s="4">
        <f t="array" ref="F39">INDEX(Sheet1!$B$2:$F$22000,SMALL(IF(Sheet1!$A$2:$A$22000=$A$1,ROW(Sheet1!$B$2:$B$22000)),ROW($A37:$F37))-1,5)</f>
        <v>0</v>
      </c>
      <c r="M39" s="9">
        <v>37</v>
      </c>
      <c r="N39" s="10">
        <f t="shared" si="2"/>
        <v>0</v>
      </c>
      <c r="O39" s="11">
        <f t="shared" si="3"/>
        <v>0</v>
      </c>
      <c r="P39" s="12">
        <f t="shared" si="4"/>
        <v>0</v>
      </c>
      <c r="Q39" s="13">
        <f t="shared" si="5"/>
        <v>0</v>
      </c>
      <c r="V39" s="14">
        <f t="shared" si="0"/>
        <v>7.2265625E-2</v>
      </c>
      <c r="W39" s="10">
        <f t="shared" si="6"/>
        <v>0</v>
      </c>
      <c r="X39" s="11">
        <f t="shared" si="6"/>
        <v>0</v>
      </c>
      <c r="Y39" s="12">
        <f t="shared" si="6"/>
        <v>0</v>
      </c>
      <c r="Z39" s="13">
        <f t="shared" si="6"/>
        <v>0</v>
      </c>
    </row>
    <row r="40" spans="1:26" x14ac:dyDescent="0.25">
      <c r="A40" s="4"/>
      <c r="B40" s="4">
        <v>38</v>
      </c>
      <c r="C40" s="4">
        <f t="array" ref="C40">INDEX(Sheet1!$B$2:$F$22000,SMALL(IF(Sheet1!$A$2:$A$22000=$A$1,ROW(Sheet1!$B$2:$B$22000)),ROW($A38:$F38))-1,2)</f>
        <v>0</v>
      </c>
      <c r="D40" s="4">
        <f t="array" ref="D40">INDEX(Sheet1!$B$2:$F$22000,SMALL(IF(Sheet1!$A$2:$A$22000=$A$1,ROW(Sheet1!$B$2:$B$22000)),ROW($A38:$F38))-1,3)</f>
        <v>0</v>
      </c>
      <c r="E40" s="4">
        <f t="array" ref="E40">INDEX(Sheet1!$B$2:$F$22000,SMALL(IF(Sheet1!$A$2:$A$22000=$A$1,ROW(Sheet1!$B$2:$B$22000)),ROW($A38:$F38))-1,4)</f>
        <v>0</v>
      </c>
      <c r="F40" s="4">
        <f t="array" ref="F40">INDEX(Sheet1!$B$2:$F$22000,SMALL(IF(Sheet1!$A$2:$A$22000=$A$1,ROW(Sheet1!$B$2:$B$22000)),ROW($A38:$F38))-1,5)</f>
        <v>0</v>
      </c>
      <c r="M40" s="9">
        <v>38</v>
      </c>
      <c r="N40" s="10">
        <f t="shared" si="2"/>
        <v>0</v>
      </c>
      <c r="O40" s="11">
        <f t="shared" si="3"/>
        <v>0</v>
      </c>
      <c r="P40" s="12">
        <f t="shared" si="4"/>
        <v>0</v>
      </c>
      <c r="Q40" s="13">
        <f t="shared" si="5"/>
        <v>0</v>
      </c>
      <c r="V40" s="14">
        <f t="shared" si="0"/>
        <v>7.421875E-2</v>
      </c>
      <c r="W40" s="10">
        <f t="shared" si="6"/>
        <v>0</v>
      </c>
      <c r="X40" s="11">
        <f t="shared" si="6"/>
        <v>0</v>
      </c>
      <c r="Y40" s="12">
        <f t="shared" si="6"/>
        <v>0</v>
      </c>
      <c r="Z40" s="13">
        <f t="shared" si="6"/>
        <v>0</v>
      </c>
    </row>
    <row r="41" spans="1:26" x14ac:dyDescent="0.25">
      <c r="A41" s="4"/>
      <c r="B41" s="4">
        <v>39</v>
      </c>
      <c r="C41" s="4">
        <f t="array" ref="C41">INDEX(Sheet1!$B$2:$F$22000,SMALL(IF(Sheet1!$A$2:$A$22000=$A$1,ROW(Sheet1!$B$2:$B$22000)),ROW($A39:$F39))-1,2)</f>
        <v>0</v>
      </c>
      <c r="D41" s="4">
        <f t="array" ref="D41">INDEX(Sheet1!$B$2:$F$22000,SMALL(IF(Sheet1!$A$2:$A$22000=$A$1,ROW(Sheet1!$B$2:$B$22000)),ROW($A39:$F39))-1,3)</f>
        <v>0</v>
      </c>
      <c r="E41" s="4">
        <f t="array" ref="E41">INDEX(Sheet1!$B$2:$F$22000,SMALL(IF(Sheet1!$A$2:$A$22000=$A$1,ROW(Sheet1!$B$2:$B$22000)),ROW($A39:$F39))-1,4)</f>
        <v>0</v>
      </c>
      <c r="F41" s="4">
        <f t="array" ref="F41">INDEX(Sheet1!$B$2:$F$22000,SMALL(IF(Sheet1!$A$2:$A$22000=$A$1,ROW(Sheet1!$B$2:$B$22000)),ROW($A39:$F39))-1,5)</f>
        <v>0</v>
      </c>
      <c r="M41" s="9">
        <v>39</v>
      </c>
      <c r="N41" s="10">
        <f t="shared" si="2"/>
        <v>0</v>
      </c>
      <c r="O41" s="11">
        <f t="shared" si="3"/>
        <v>0</v>
      </c>
      <c r="P41" s="12">
        <f t="shared" si="4"/>
        <v>0</v>
      </c>
      <c r="Q41" s="13">
        <f t="shared" si="5"/>
        <v>0</v>
      </c>
      <c r="V41" s="14">
        <f t="shared" si="0"/>
        <v>7.6171875E-2</v>
      </c>
      <c r="W41" s="10">
        <f t="shared" si="6"/>
        <v>0</v>
      </c>
      <c r="X41" s="11">
        <f t="shared" si="6"/>
        <v>0</v>
      </c>
      <c r="Y41" s="12">
        <f t="shared" si="6"/>
        <v>0</v>
      </c>
      <c r="Z41" s="13">
        <f t="shared" si="6"/>
        <v>0</v>
      </c>
    </row>
    <row r="42" spans="1:26" x14ac:dyDescent="0.25">
      <c r="A42" s="4"/>
      <c r="B42" s="4">
        <v>40</v>
      </c>
      <c r="C42" s="4">
        <f t="array" ref="C42">INDEX(Sheet1!$B$2:$F$22000,SMALL(IF(Sheet1!$A$2:$A$22000=$A$1,ROW(Sheet1!$B$2:$B$22000)),ROW($A40:$F40))-1,2)</f>
        <v>0</v>
      </c>
      <c r="D42" s="4">
        <f t="array" ref="D42">INDEX(Sheet1!$B$2:$F$22000,SMALL(IF(Sheet1!$A$2:$A$22000=$A$1,ROW(Sheet1!$B$2:$B$22000)),ROW($A40:$F40))-1,3)</f>
        <v>0</v>
      </c>
      <c r="E42" s="4">
        <f t="array" ref="E42">INDEX(Sheet1!$B$2:$F$22000,SMALL(IF(Sheet1!$A$2:$A$22000=$A$1,ROW(Sheet1!$B$2:$B$22000)),ROW($A40:$F40))-1,4)</f>
        <v>0</v>
      </c>
      <c r="F42" s="4">
        <f t="array" ref="F42">INDEX(Sheet1!$B$2:$F$22000,SMALL(IF(Sheet1!$A$2:$A$22000=$A$1,ROW(Sheet1!$B$2:$B$22000)),ROW($A40:$F40))-1,5)</f>
        <v>0</v>
      </c>
      <c r="M42" s="9">
        <v>40</v>
      </c>
      <c r="N42" s="10">
        <f t="shared" si="2"/>
        <v>0</v>
      </c>
      <c r="O42" s="11">
        <f t="shared" si="3"/>
        <v>0</v>
      </c>
      <c r="P42" s="12">
        <f t="shared" si="4"/>
        <v>0</v>
      </c>
      <c r="Q42" s="13">
        <f t="shared" si="5"/>
        <v>0</v>
      </c>
      <c r="V42" s="14">
        <f t="shared" si="0"/>
        <v>7.8125E-2</v>
      </c>
      <c r="W42" s="10">
        <f t="shared" si="6"/>
        <v>0</v>
      </c>
      <c r="X42" s="11">
        <f t="shared" si="6"/>
        <v>0</v>
      </c>
      <c r="Y42" s="12">
        <f t="shared" si="6"/>
        <v>0</v>
      </c>
      <c r="Z42" s="13">
        <f t="shared" si="6"/>
        <v>0</v>
      </c>
    </row>
    <row r="43" spans="1:26" x14ac:dyDescent="0.25">
      <c r="A43" s="4"/>
      <c r="B43" s="4">
        <v>41</v>
      </c>
      <c r="C43" s="4">
        <f t="array" ref="C43">INDEX(Sheet1!$B$2:$F$22000,SMALL(IF(Sheet1!$A$2:$A$22000=$A$1,ROW(Sheet1!$B$2:$B$22000)),ROW($A41:$F41))-1,2)</f>
        <v>0</v>
      </c>
      <c r="D43" s="4">
        <f t="array" ref="D43">INDEX(Sheet1!$B$2:$F$22000,SMALL(IF(Sheet1!$A$2:$A$22000=$A$1,ROW(Sheet1!$B$2:$B$22000)),ROW($A41:$F41))-1,3)</f>
        <v>0</v>
      </c>
      <c r="E43" s="4">
        <f t="array" ref="E43">INDEX(Sheet1!$B$2:$F$22000,SMALL(IF(Sheet1!$A$2:$A$22000=$A$1,ROW(Sheet1!$B$2:$B$22000)),ROW($A41:$F41))-1,4)</f>
        <v>0</v>
      </c>
      <c r="F43" s="4">
        <f t="array" ref="F43">INDEX(Sheet1!$B$2:$F$22000,SMALL(IF(Sheet1!$A$2:$A$22000=$A$1,ROW(Sheet1!$B$2:$B$22000)),ROW($A41:$F41))-1,5)</f>
        <v>0</v>
      </c>
      <c r="M43" s="9">
        <v>41</v>
      </c>
      <c r="N43" s="10">
        <f t="shared" si="2"/>
        <v>0</v>
      </c>
      <c r="O43" s="11">
        <f t="shared" si="3"/>
        <v>0</v>
      </c>
      <c r="P43" s="12">
        <f t="shared" si="4"/>
        <v>0</v>
      </c>
      <c r="Q43" s="13">
        <f t="shared" si="5"/>
        <v>0</v>
      </c>
      <c r="V43" s="14">
        <f t="shared" si="0"/>
        <v>8.0078125E-2</v>
      </c>
      <c r="W43" s="10">
        <f t="shared" si="6"/>
        <v>0</v>
      </c>
      <c r="X43" s="11">
        <f t="shared" si="6"/>
        <v>0</v>
      </c>
      <c r="Y43" s="12">
        <f t="shared" si="6"/>
        <v>0</v>
      </c>
      <c r="Z43" s="13">
        <f t="shared" si="6"/>
        <v>0</v>
      </c>
    </row>
    <row r="44" spans="1:26" x14ac:dyDescent="0.25">
      <c r="A44" s="4"/>
      <c r="B44" s="4">
        <v>42</v>
      </c>
      <c r="C44" s="4">
        <f t="array" ref="C44">INDEX(Sheet1!$B$2:$F$22000,SMALL(IF(Sheet1!$A$2:$A$22000=$A$1,ROW(Sheet1!$B$2:$B$22000)),ROW($A42:$F42))-1,2)</f>
        <v>0</v>
      </c>
      <c r="D44" s="4">
        <f t="array" ref="D44">INDEX(Sheet1!$B$2:$F$22000,SMALL(IF(Sheet1!$A$2:$A$22000=$A$1,ROW(Sheet1!$B$2:$B$22000)),ROW($A42:$F42))-1,3)</f>
        <v>0</v>
      </c>
      <c r="E44" s="4">
        <f t="array" ref="E44">INDEX(Sheet1!$B$2:$F$22000,SMALL(IF(Sheet1!$A$2:$A$22000=$A$1,ROW(Sheet1!$B$2:$B$22000)),ROW($A42:$F42))-1,4)</f>
        <v>0</v>
      </c>
      <c r="F44" s="4">
        <f t="array" ref="F44">INDEX(Sheet1!$B$2:$F$22000,SMALL(IF(Sheet1!$A$2:$A$22000=$A$1,ROW(Sheet1!$B$2:$B$22000)),ROW($A42:$F42))-1,5)</f>
        <v>0</v>
      </c>
      <c r="M44" s="9">
        <v>42</v>
      </c>
      <c r="N44" s="10">
        <f t="shared" si="2"/>
        <v>0</v>
      </c>
      <c r="O44" s="11">
        <f t="shared" si="3"/>
        <v>0</v>
      </c>
      <c r="P44" s="12">
        <f t="shared" si="4"/>
        <v>0</v>
      </c>
      <c r="Q44" s="13">
        <f t="shared" si="5"/>
        <v>0</v>
      </c>
      <c r="V44" s="14">
        <f t="shared" si="0"/>
        <v>8.203125E-2</v>
      </c>
      <c r="W44" s="10">
        <f t="shared" si="6"/>
        <v>0</v>
      </c>
      <c r="X44" s="11">
        <f t="shared" si="6"/>
        <v>0</v>
      </c>
      <c r="Y44" s="12">
        <f t="shared" si="6"/>
        <v>0</v>
      </c>
      <c r="Z44" s="13">
        <f t="shared" si="6"/>
        <v>0</v>
      </c>
    </row>
    <row r="45" spans="1:26" x14ac:dyDescent="0.25">
      <c r="A45" s="4"/>
      <c r="B45" s="4">
        <v>43</v>
      </c>
      <c r="C45" s="4">
        <f t="array" ref="C45">INDEX(Sheet1!$B$2:$F$22000,SMALL(IF(Sheet1!$A$2:$A$22000=$A$1,ROW(Sheet1!$B$2:$B$22000)),ROW($A43:$F43))-1,2)</f>
        <v>0</v>
      </c>
      <c r="D45" s="4">
        <f t="array" ref="D45">INDEX(Sheet1!$B$2:$F$22000,SMALL(IF(Sheet1!$A$2:$A$22000=$A$1,ROW(Sheet1!$B$2:$B$22000)),ROW($A43:$F43))-1,3)</f>
        <v>0</v>
      </c>
      <c r="E45" s="4">
        <f t="array" ref="E45">INDEX(Sheet1!$B$2:$F$22000,SMALL(IF(Sheet1!$A$2:$A$22000=$A$1,ROW(Sheet1!$B$2:$B$22000)),ROW($A43:$F43))-1,4)</f>
        <v>0</v>
      </c>
      <c r="F45" s="4">
        <f t="array" ref="F45">INDEX(Sheet1!$B$2:$F$22000,SMALL(IF(Sheet1!$A$2:$A$22000=$A$1,ROW(Sheet1!$B$2:$B$22000)),ROW($A43:$F43))-1,5)</f>
        <v>0</v>
      </c>
      <c r="M45" s="9">
        <v>43</v>
      </c>
      <c r="N45" s="10">
        <f t="shared" si="2"/>
        <v>0</v>
      </c>
      <c r="O45" s="11">
        <f t="shared" si="3"/>
        <v>0</v>
      </c>
      <c r="P45" s="12">
        <f t="shared" si="4"/>
        <v>0</v>
      </c>
      <c r="Q45" s="13">
        <f t="shared" si="5"/>
        <v>0</v>
      </c>
      <c r="V45" s="14">
        <f t="shared" si="0"/>
        <v>8.3984375E-2</v>
      </c>
      <c r="W45" s="10">
        <f t="shared" si="6"/>
        <v>0</v>
      </c>
      <c r="X45" s="11">
        <f t="shared" si="6"/>
        <v>0</v>
      </c>
      <c r="Y45" s="12">
        <f t="shared" si="6"/>
        <v>0</v>
      </c>
      <c r="Z45" s="13">
        <f t="shared" si="6"/>
        <v>0</v>
      </c>
    </row>
    <row r="46" spans="1:26" x14ac:dyDescent="0.25">
      <c r="A46" s="4"/>
      <c r="B46" s="4">
        <v>44</v>
      </c>
      <c r="C46" s="4">
        <f t="array" ref="C46">INDEX(Sheet1!$B$2:$F$22000,SMALL(IF(Sheet1!$A$2:$A$22000=$A$1,ROW(Sheet1!$B$2:$B$22000)),ROW($A44:$F44))-1,2)</f>
        <v>0</v>
      </c>
      <c r="D46" s="4">
        <f t="array" ref="D46">INDEX(Sheet1!$B$2:$F$22000,SMALL(IF(Sheet1!$A$2:$A$22000=$A$1,ROW(Sheet1!$B$2:$B$22000)),ROW($A44:$F44))-1,3)</f>
        <v>0</v>
      </c>
      <c r="E46" s="4">
        <f t="array" ref="E46">INDEX(Sheet1!$B$2:$F$22000,SMALL(IF(Sheet1!$A$2:$A$22000=$A$1,ROW(Sheet1!$B$2:$B$22000)),ROW($A44:$F44))-1,4)</f>
        <v>0</v>
      </c>
      <c r="F46" s="4">
        <f t="array" ref="F46">INDEX(Sheet1!$B$2:$F$22000,SMALL(IF(Sheet1!$A$2:$A$22000=$A$1,ROW(Sheet1!$B$2:$B$22000)),ROW($A44:$F44))-1,5)</f>
        <v>0</v>
      </c>
      <c r="M46" s="9">
        <v>44</v>
      </c>
      <c r="N46" s="10">
        <f t="shared" si="2"/>
        <v>0</v>
      </c>
      <c r="O46" s="11">
        <f t="shared" si="3"/>
        <v>0</v>
      </c>
      <c r="P46" s="12">
        <f t="shared" si="4"/>
        <v>0</v>
      </c>
      <c r="Q46" s="13">
        <f t="shared" si="5"/>
        <v>0</v>
      </c>
      <c r="V46" s="14">
        <f t="shared" si="0"/>
        <v>8.59375E-2</v>
      </c>
      <c r="W46" s="10">
        <f t="shared" si="6"/>
        <v>0</v>
      </c>
      <c r="X46" s="11">
        <f t="shared" si="6"/>
        <v>0</v>
      </c>
      <c r="Y46" s="12">
        <f t="shared" si="6"/>
        <v>0</v>
      </c>
      <c r="Z46" s="13">
        <f t="shared" si="6"/>
        <v>0</v>
      </c>
    </row>
    <row r="47" spans="1:26" x14ac:dyDescent="0.25">
      <c r="A47" s="4"/>
      <c r="B47" s="4">
        <v>45</v>
      </c>
      <c r="C47" s="4">
        <f t="array" ref="C47">INDEX(Sheet1!$B$2:$F$22000,SMALL(IF(Sheet1!$A$2:$A$22000=$A$1,ROW(Sheet1!$B$2:$B$22000)),ROW($A45:$F45))-1,2)</f>
        <v>0</v>
      </c>
      <c r="D47" s="4">
        <f t="array" ref="D47">INDEX(Sheet1!$B$2:$F$22000,SMALL(IF(Sheet1!$A$2:$A$22000=$A$1,ROW(Sheet1!$B$2:$B$22000)),ROW($A45:$F45))-1,3)</f>
        <v>0</v>
      </c>
      <c r="E47" s="4">
        <f t="array" ref="E47">INDEX(Sheet1!$B$2:$F$22000,SMALL(IF(Sheet1!$A$2:$A$22000=$A$1,ROW(Sheet1!$B$2:$B$22000)),ROW($A45:$F45))-1,4)</f>
        <v>0</v>
      </c>
      <c r="F47" s="4">
        <f t="array" ref="F47">INDEX(Sheet1!$B$2:$F$22000,SMALL(IF(Sheet1!$A$2:$A$22000=$A$1,ROW(Sheet1!$B$2:$B$22000)),ROW($A45:$F45))-1,5)</f>
        <v>0</v>
      </c>
      <c r="M47" s="9">
        <v>45</v>
      </c>
      <c r="N47" s="10">
        <f t="shared" si="2"/>
        <v>0</v>
      </c>
      <c r="O47" s="11">
        <f t="shared" si="3"/>
        <v>0</v>
      </c>
      <c r="P47" s="12">
        <f t="shared" si="4"/>
        <v>0</v>
      </c>
      <c r="Q47" s="13">
        <f t="shared" si="5"/>
        <v>0</v>
      </c>
      <c r="V47" s="14">
        <f t="shared" si="0"/>
        <v>8.7890625E-2</v>
      </c>
      <c r="W47" s="10">
        <f t="shared" si="6"/>
        <v>0</v>
      </c>
      <c r="X47" s="11">
        <f t="shared" si="6"/>
        <v>0</v>
      </c>
      <c r="Y47" s="12">
        <f t="shared" si="6"/>
        <v>0</v>
      </c>
      <c r="Z47" s="13">
        <f t="shared" si="6"/>
        <v>0</v>
      </c>
    </row>
    <row r="48" spans="1:26" x14ac:dyDescent="0.25">
      <c r="A48" s="4"/>
      <c r="B48" s="4">
        <v>46</v>
      </c>
      <c r="C48" s="4">
        <f t="array" ref="C48">INDEX(Sheet1!$B$2:$F$22000,SMALL(IF(Sheet1!$A$2:$A$22000=$A$1,ROW(Sheet1!$B$2:$B$22000)),ROW($A46:$F46))-1,2)</f>
        <v>0</v>
      </c>
      <c r="D48" s="4">
        <f t="array" ref="D48">INDEX(Sheet1!$B$2:$F$22000,SMALL(IF(Sheet1!$A$2:$A$22000=$A$1,ROW(Sheet1!$B$2:$B$22000)),ROW($A46:$F46))-1,3)</f>
        <v>0</v>
      </c>
      <c r="E48" s="4">
        <f t="array" ref="E48">INDEX(Sheet1!$B$2:$F$22000,SMALL(IF(Sheet1!$A$2:$A$22000=$A$1,ROW(Sheet1!$B$2:$B$22000)),ROW($A46:$F46))-1,4)</f>
        <v>0</v>
      </c>
      <c r="F48" s="4">
        <f t="array" ref="F48">INDEX(Sheet1!$B$2:$F$22000,SMALL(IF(Sheet1!$A$2:$A$22000=$A$1,ROW(Sheet1!$B$2:$B$22000)),ROW($A46:$F46))-1,5)</f>
        <v>0</v>
      </c>
      <c r="M48" s="9">
        <v>46</v>
      </c>
      <c r="N48" s="10">
        <f t="shared" si="2"/>
        <v>0</v>
      </c>
      <c r="O48" s="11">
        <f t="shared" si="3"/>
        <v>0</v>
      </c>
      <c r="P48" s="12">
        <f t="shared" si="4"/>
        <v>0</v>
      </c>
      <c r="Q48" s="13">
        <f t="shared" si="5"/>
        <v>0</v>
      </c>
      <c r="V48" s="14">
        <f t="shared" si="0"/>
        <v>8.984375E-2</v>
      </c>
      <c r="W48" s="10">
        <f t="shared" si="6"/>
        <v>0</v>
      </c>
      <c r="X48" s="11">
        <f t="shared" si="6"/>
        <v>0</v>
      </c>
      <c r="Y48" s="12">
        <f t="shared" si="6"/>
        <v>0</v>
      </c>
      <c r="Z48" s="13">
        <f t="shared" si="6"/>
        <v>0</v>
      </c>
    </row>
    <row r="49" spans="1:26" x14ac:dyDescent="0.25">
      <c r="A49" s="4"/>
      <c r="B49" s="4">
        <v>47</v>
      </c>
      <c r="C49" s="4">
        <f t="array" ref="C49">INDEX(Sheet1!$B$2:$F$22000,SMALL(IF(Sheet1!$A$2:$A$22000=$A$1,ROW(Sheet1!$B$2:$B$22000)),ROW($A47:$F47))-1,2)</f>
        <v>0</v>
      </c>
      <c r="D49" s="4">
        <f t="array" ref="D49">INDEX(Sheet1!$B$2:$F$22000,SMALL(IF(Sheet1!$A$2:$A$22000=$A$1,ROW(Sheet1!$B$2:$B$22000)),ROW($A47:$F47))-1,3)</f>
        <v>0</v>
      </c>
      <c r="E49" s="4">
        <f t="array" ref="E49">INDEX(Sheet1!$B$2:$F$22000,SMALL(IF(Sheet1!$A$2:$A$22000=$A$1,ROW(Sheet1!$B$2:$B$22000)),ROW($A47:$F47))-1,4)</f>
        <v>0</v>
      </c>
      <c r="F49" s="4">
        <f t="array" ref="F49">INDEX(Sheet1!$B$2:$F$22000,SMALL(IF(Sheet1!$A$2:$A$22000=$A$1,ROW(Sheet1!$B$2:$B$22000)),ROW($A47:$F47))-1,5)</f>
        <v>0</v>
      </c>
      <c r="M49" s="9">
        <v>47</v>
      </c>
      <c r="N49" s="10">
        <f t="shared" si="2"/>
        <v>0</v>
      </c>
      <c r="O49" s="11">
        <f t="shared" si="3"/>
        <v>0</v>
      </c>
      <c r="P49" s="12">
        <f t="shared" si="4"/>
        <v>0</v>
      </c>
      <c r="Q49" s="13">
        <f t="shared" si="5"/>
        <v>0</v>
      </c>
      <c r="V49" s="14">
        <f t="shared" si="0"/>
        <v>9.1796875E-2</v>
      </c>
      <c r="W49" s="10">
        <f t="shared" si="6"/>
        <v>0</v>
      </c>
      <c r="X49" s="11">
        <f t="shared" si="6"/>
        <v>0</v>
      </c>
      <c r="Y49" s="12">
        <f t="shared" si="6"/>
        <v>0</v>
      </c>
      <c r="Z49" s="13">
        <f t="shared" si="6"/>
        <v>0</v>
      </c>
    </row>
    <row r="50" spans="1:26" x14ac:dyDescent="0.25">
      <c r="A50" s="4"/>
      <c r="B50" s="4">
        <v>48</v>
      </c>
      <c r="C50" s="4">
        <f t="array" ref="C50">INDEX(Sheet1!$B$2:$F$22000,SMALL(IF(Sheet1!$A$2:$A$22000=$A$1,ROW(Sheet1!$B$2:$B$22000)),ROW($A48:$F48))-1,2)</f>
        <v>0</v>
      </c>
      <c r="D50" s="4">
        <f t="array" ref="D50">INDEX(Sheet1!$B$2:$F$22000,SMALL(IF(Sheet1!$A$2:$A$22000=$A$1,ROW(Sheet1!$B$2:$B$22000)),ROW($A48:$F48))-1,3)</f>
        <v>0</v>
      </c>
      <c r="E50" s="4">
        <f t="array" ref="E50">INDEX(Sheet1!$B$2:$F$22000,SMALL(IF(Sheet1!$A$2:$A$22000=$A$1,ROW(Sheet1!$B$2:$B$22000)),ROW($A48:$F48))-1,4)</f>
        <v>0</v>
      </c>
      <c r="F50" s="4">
        <f t="array" ref="F50">INDEX(Sheet1!$B$2:$F$22000,SMALL(IF(Sheet1!$A$2:$A$22000=$A$1,ROW(Sheet1!$B$2:$B$22000)),ROW($A48:$F48))-1,5)</f>
        <v>0</v>
      </c>
      <c r="M50" s="9">
        <v>48</v>
      </c>
      <c r="N50" s="10">
        <f t="shared" si="2"/>
        <v>0</v>
      </c>
      <c r="O50" s="11">
        <f t="shared" si="3"/>
        <v>0</v>
      </c>
      <c r="P50" s="12">
        <f t="shared" si="4"/>
        <v>0</v>
      </c>
      <c r="Q50" s="13">
        <f t="shared" si="5"/>
        <v>0</v>
      </c>
      <c r="V50" s="14">
        <f t="shared" si="0"/>
        <v>9.375E-2</v>
      </c>
      <c r="W50" s="10">
        <f t="shared" si="6"/>
        <v>0</v>
      </c>
      <c r="X50" s="11">
        <f t="shared" si="6"/>
        <v>0</v>
      </c>
      <c r="Y50" s="12">
        <f t="shared" si="6"/>
        <v>0</v>
      </c>
      <c r="Z50" s="13">
        <f t="shared" si="6"/>
        <v>0</v>
      </c>
    </row>
    <row r="51" spans="1:26" x14ac:dyDescent="0.25">
      <c r="A51" s="4"/>
      <c r="B51" s="4">
        <v>49</v>
      </c>
      <c r="C51" s="4">
        <f t="array" ref="C51">INDEX(Sheet1!$B$2:$F$22000,SMALL(IF(Sheet1!$A$2:$A$22000=$A$1,ROW(Sheet1!$B$2:$B$22000)),ROW($A49:$F49))-1,2)</f>
        <v>0</v>
      </c>
      <c r="D51" s="4">
        <f t="array" ref="D51">INDEX(Sheet1!$B$2:$F$22000,SMALL(IF(Sheet1!$A$2:$A$22000=$A$1,ROW(Sheet1!$B$2:$B$22000)),ROW($A49:$F49))-1,3)</f>
        <v>0</v>
      </c>
      <c r="E51" s="4">
        <f t="array" ref="E51">INDEX(Sheet1!$B$2:$F$22000,SMALL(IF(Sheet1!$A$2:$A$22000=$A$1,ROW(Sheet1!$B$2:$B$22000)),ROW($A49:$F49))-1,4)</f>
        <v>0</v>
      </c>
      <c r="F51" s="4">
        <f t="array" ref="F51">INDEX(Sheet1!$B$2:$F$22000,SMALL(IF(Sheet1!$A$2:$A$22000=$A$1,ROW(Sheet1!$B$2:$B$22000)),ROW($A49:$F49))-1,5)</f>
        <v>0</v>
      </c>
      <c r="M51" s="9">
        <v>49</v>
      </c>
      <c r="N51" s="10">
        <f t="shared" si="2"/>
        <v>0</v>
      </c>
      <c r="O51" s="11">
        <f t="shared" si="3"/>
        <v>0</v>
      </c>
      <c r="P51" s="12">
        <f t="shared" si="4"/>
        <v>0</v>
      </c>
      <c r="Q51" s="13">
        <f t="shared" si="5"/>
        <v>0</v>
      </c>
      <c r="V51" s="14">
        <f t="shared" si="0"/>
        <v>9.5703125E-2</v>
      </c>
      <c r="W51" s="10">
        <f t="shared" si="6"/>
        <v>0</v>
      </c>
      <c r="X51" s="11">
        <f t="shared" si="6"/>
        <v>0</v>
      </c>
      <c r="Y51" s="12">
        <f t="shared" si="6"/>
        <v>0</v>
      </c>
      <c r="Z51" s="13">
        <f t="shared" si="6"/>
        <v>0</v>
      </c>
    </row>
    <row r="52" spans="1:26" x14ac:dyDescent="0.25">
      <c r="A52" s="4"/>
      <c r="B52" s="4">
        <v>50</v>
      </c>
      <c r="C52" s="4">
        <f t="array" ref="C52">INDEX(Sheet1!$B$2:$F$22000,SMALL(IF(Sheet1!$A$2:$A$22000=$A$1,ROW(Sheet1!$B$2:$B$22000)),ROW($A50:$F50))-1,2)</f>
        <v>0</v>
      </c>
      <c r="D52" s="4">
        <f t="array" ref="D52">INDEX(Sheet1!$B$2:$F$22000,SMALL(IF(Sheet1!$A$2:$A$22000=$A$1,ROW(Sheet1!$B$2:$B$22000)),ROW($A50:$F50))-1,3)</f>
        <v>0</v>
      </c>
      <c r="E52" s="4">
        <f t="array" ref="E52">INDEX(Sheet1!$B$2:$F$22000,SMALL(IF(Sheet1!$A$2:$A$22000=$A$1,ROW(Sheet1!$B$2:$B$22000)),ROW($A50:$F50))-1,4)</f>
        <v>0</v>
      </c>
      <c r="F52" s="4">
        <f t="array" ref="F52">INDEX(Sheet1!$B$2:$F$22000,SMALL(IF(Sheet1!$A$2:$A$22000=$A$1,ROW(Sheet1!$B$2:$B$22000)),ROW($A50:$F50))-1,5)</f>
        <v>0</v>
      </c>
      <c r="M52" s="9">
        <v>50</v>
      </c>
      <c r="N52" s="10">
        <f t="shared" si="2"/>
        <v>0</v>
      </c>
      <c r="O52" s="11">
        <f t="shared" si="3"/>
        <v>0</v>
      </c>
      <c r="P52" s="12">
        <f t="shared" si="4"/>
        <v>0</v>
      </c>
      <c r="Q52" s="13">
        <f t="shared" si="5"/>
        <v>0</v>
      </c>
      <c r="V52" s="14">
        <f t="shared" si="0"/>
        <v>9.765625E-2</v>
      </c>
      <c r="W52" s="10">
        <f t="shared" si="6"/>
        <v>0</v>
      </c>
      <c r="X52" s="11">
        <f t="shared" si="6"/>
        <v>0</v>
      </c>
      <c r="Y52" s="12">
        <f t="shared" si="6"/>
        <v>0</v>
      </c>
      <c r="Z52" s="13">
        <f t="shared" si="6"/>
        <v>0</v>
      </c>
    </row>
    <row r="53" spans="1:26" x14ac:dyDescent="0.25">
      <c r="A53" s="4"/>
      <c r="B53" s="4">
        <v>51</v>
      </c>
      <c r="C53" s="4">
        <f t="array" ref="C53">INDEX(Sheet1!$B$2:$F$22000,SMALL(IF(Sheet1!$A$2:$A$22000=$A$1,ROW(Sheet1!$B$2:$B$22000)),ROW($A51:$F51))-1,2)</f>
        <v>0</v>
      </c>
      <c r="D53" s="4">
        <f t="array" ref="D53">INDEX(Sheet1!$B$2:$F$22000,SMALL(IF(Sheet1!$A$2:$A$22000=$A$1,ROW(Sheet1!$B$2:$B$22000)),ROW($A51:$F51))-1,3)</f>
        <v>0</v>
      </c>
      <c r="E53" s="4">
        <f t="array" ref="E53">INDEX(Sheet1!$B$2:$F$22000,SMALL(IF(Sheet1!$A$2:$A$22000=$A$1,ROW(Sheet1!$B$2:$B$22000)),ROW($A51:$F51))-1,4)</f>
        <v>0</v>
      </c>
      <c r="F53" s="4">
        <f t="array" ref="F53">INDEX(Sheet1!$B$2:$F$22000,SMALL(IF(Sheet1!$A$2:$A$22000=$A$1,ROW(Sheet1!$B$2:$B$22000)),ROW($A51:$F51))-1,5)</f>
        <v>0</v>
      </c>
      <c r="M53" s="9">
        <v>51</v>
      </c>
      <c r="N53" s="10">
        <f t="shared" si="2"/>
        <v>0</v>
      </c>
      <c r="O53" s="11">
        <f t="shared" si="3"/>
        <v>0</v>
      </c>
      <c r="P53" s="12">
        <f t="shared" si="4"/>
        <v>0</v>
      </c>
      <c r="Q53" s="13">
        <f t="shared" si="5"/>
        <v>0</v>
      </c>
      <c r="V53" s="14">
        <f t="shared" si="0"/>
        <v>9.9609375E-2</v>
      </c>
      <c r="W53" s="10">
        <f t="shared" si="6"/>
        <v>0</v>
      </c>
      <c r="X53" s="11">
        <f t="shared" si="6"/>
        <v>0</v>
      </c>
      <c r="Y53" s="12">
        <f t="shared" si="6"/>
        <v>0</v>
      </c>
      <c r="Z53" s="13">
        <f t="shared" si="6"/>
        <v>0</v>
      </c>
    </row>
    <row r="54" spans="1:26" x14ac:dyDescent="0.25">
      <c r="A54" s="4"/>
      <c r="B54" s="4">
        <v>52</v>
      </c>
      <c r="C54" s="4">
        <f t="array" ref="C54">INDEX(Sheet1!$B$2:$F$22000,SMALL(IF(Sheet1!$A$2:$A$22000=$A$1,ROW(Sheet1!$B$2:$B$22000)),ROW($A52:$F52))-1,2)</f>
        <v>0</v>
      </c>
      <c r="D54" s="4">
        <f t="array" ref="D54">INDEX(Sheet1!$B$2:$F$22000,SMALL(IF(Sheet1!$A$2:$A$22000=$A$1,ROW(Sheet1!$B$2:$B$22000)),ROW($A52:$F52))-1,3)</f>
        <v>0</v>
      </c>
      <c r="E54" s="4">
        <f t="array" ref="E54">INDEX(Sheet1!$B$2:$F$22000,SMALL(IF(Sheet1!$A$2:$A$22000=$A$1,ROW(Sheet1!$B$2:$B$22000)),ROW($A52:$F52))-1,4)</f>
        <v>0</v>
      </c>
      <c r="F54" s="4">
        <f t="array" ref="F54">INDEX(Sheet1!$B$2:$F$22000,SMALL(IF(Sheet1!$A$2:$A$22000=$A$1,ROW(Sheet1!$B$2:$B$22000)),ROW($A52:$F52))-1,5)</f>
        <v>0</v>
      </c>
      <c r="M54" s="9">
        <v>52</v>
      </c>
      <c r="N54" s="10">
        <f t="shared" si="2"/>
        <v>0</v>
      </c>
      <c r="O54" s="11">
        <f t="shared" si="3"/>
        <v>0</v>
      </c>
      <c r="P54" s="12">
        <f t="shared" si="4"/>
        <v>0</v>
      </c>
      <c r="Q54" s="13">
        <f t="shared" si="5"/>
        <v>0</v>
      </c>
      <c r="V54" s="14">
        <f t="shared" si="0"/>
        <v>0.1015625</v>
      </c>
      <c r="W54" s="10">
        <f t="shared" si="6"/>
        <v>0</v>
      </c>
      <c r="X54" s="11">
        <f t="shared" si="6"/>
        <v>0</v>
      </c>
      <c r="Y54" s="12">
        <f t="shared" si="6"/>
        <v>0</v>
      </c>
      <c r="Z54" s="13">
        <f t="shared" si="6"/>
        <v>0</v>
      </c>
    </row>
    <row r="55" spans="1:26" x14ac:dyDescent="0.25">
      <c r="A55" s="4"/>
      <c r="B55" s="4">
        <v>53</v>
      </c>
      <c r="C55" s="4">
        <f t="array" ref="C55">INDEX(Sheet1!$B$2:$F$22000,SMALL(IF(Sheet1!$A$2:$A$22000=$A$1,ROW(Sheet1!$B$2:$B$22000)),ROW($A53:$F53))-1,2)</f>
        <v>0</v>
      </c>
      <c r="D55" s="4">
        <f t="array" ref="D55">INDEX(Sheet1!$B$2:$F$22000,SMALL(IF(Sheet1!$A$2:$A$22000=$A$1,ROW(Sheet1!$B$2:$B$22000)),ROW($A53:$F53))-1,3)</f>
        <v>0</v>
      </c>
      <c r="E55" s="4">
        <f t="array" ref="E55">INDEX(Sheet1!$B$2:$F$22000,SMALL(IF(Sheet1!$A$2:$A$22000=$A$1,ROW(Sheet1!$B$2:$B$22000)),ROW($A53:$F53))-1,4)</f>
        <v>0</v>
      </c>
      <c r="F55" s="4">
        <f t="array" ref="F55">INDEX(Sheet1!$B$2:$F$22000,SMALL(IF(Sheet1!$A$2:$A$22000=$A$1,ROW(Sheet1!$B$2:$B$22000)),ROW($A53:$F53))-1,5)</f>
        <v>0</v>
      </c>
      <c r="M55" s="9">
        <v>53</v>
      </c>
      <c r="N55" s="10">
        <f t="shared" si="2"/>
        <v>0</v>
      </c>
      <c r="O55" s="11">
        <f t="shared" si="3"/>
        <v>0</v>
      </c>
      <c r="P55" s="12">
        <f t="shared" si="4"/>
        <v>0</v>
      </c>
      <c r="Q55" s="13">
        <f t="shared" si="5"/>
        <v>0</v>
      </c>
      <c r="V55" s="14">
        <f t="shared" si="0"/>
        <v>0.103515625</v>
      </c>
      <c r="W55" s="10">
        <f t="shared" si="6"/>
        <v>0</v>
      </c>
      <c r="X55" s="11">
        <f t="shared" si="6"/>
        <v>0</v>
      </c>
      <c r="Y55" s="12">
        <f t="shared" si="6"/>
        <v>0</v>
      </c>
      <c r="Z55" s="13">
        <f t="shared" si="6"/>
        <v>0</v>
      </c>
    </row>
    <row r="56" spans="1:26" x14ac:dyDescent="0.25">
      <c r="A56" s="4"/>
      <c r="B56" s="4">
        <v>54</v>
      </c>
      <c r="C56" s="4">
        <f t="array" ref="C56">INDEX(Sheet1!$B$2:$F$22000,SMALL(IF(Sheet1!$A$2:$A$22000=$A$1,ROW(Sheet1!$B$2:$B$22000)),ROW($A54:$F54))-1,2)</f>
        <v>0</v>
      </c>
      <c r="D56" s="4">
        <f t="array" ref="D56">INDEX(Sheet1!$B$2:$F$22000,SMALL(IF(Sheet1!$A$2:$A$22000=$A$1,ROW(Sheet1!$B$2:$B$22000)),ROW($A54:$F54))-1,3)</f>
        <v>0</v>
      </c>
      <c r="E56" s="4">
        <f t="array" ref="E56">INDEX(Sheet1!$B$2:$F$22000,SMALL(IF(Sheet1!$A$2:$A$22000=$A$1,ROW(Sheet1!$B$2:$B$22000)),ROW($A54:$F54))-1,4)</f>
        <v>0</v>
      </c>
      <c r="F56" s="4">
        <f t="array" ref="F56">INDEX(Sheet1!$B$2:$F$22000,SMALL(IF(Sheet1!$A$2:$A$22000=$A$1,ROW(Sheet1!$B$2:$B$22000)),ROW($A54:$F54))-1,5)</f>
        <v>0</v>
      </c>
      <c r="M56" s="9">
        <v>54</v>
      </c>
      <c r="N56" s="10">
        <f t="shared" si="2"/>
        <v>0</v>
      </c>
      <c r="O56" s="11">
        <f t="shared" si="3"/>
        <v>0</v>
      </c>
      <c r="P56" s="12">
        <f t="shared" si="4"/>
        <v>0</v>
      </c>
      <c r="Q56" s="13">
        <f t="shared" si="5"/>
        <v>0</v>
      </c>
      <c r="V56" s="14">
        <f t="shared" si="0"/>
        <v>0.10546875</v>
      </c>
      <c r="W56" s="10">
        <f t="shared" si="6"/>
        <v>0</v>
      </c>
      <c r="X56" s="11">
        <f t="shared" si="6"/>
        <v>0</v>
      </c>
      <c r="Y56" s="12">
        <f t="shared" si="6"/>
        <v>0</v>
      </c>
      <c r="Z56" s="13">
        <f t="shared" si="6"/>
        <v>0</v>
      </c>
    </row>
    <row r="57" spans="1:26" x14ac:dyDescent="0.25">
      <c r="A57" s="4"/>
      <c r="B57" s="4">
        <v>55</v>
      </c>
      <c r="C57" s="4">
        <f t="array" ref="C57">INDEX(Sheet1!$B$2:$F$22000,SMALL(IF(Sheet1!$A$2:$A$22000=$A$1,ROW(Sheet1!$B$2:$B$22000)),ROW($A55:$F55))-1,2)</f>
        <v>0</v>
      </c>
      <c r="D57" s="4">
        <f t="array" ref="D57">INDEX(Sheet1!$B$2:$F$22000,SMALL(IF(Sheet1!$A$2:$A$22000=$A$1,ROW(Sheet1!$B$2:$B$22000)),ROW($A55:$F55))-1,3)</f>
        <v>0</v>
      </c>
      <c r="E57" s="4">
        <f t="array" ref="E57">INDEX(Sheet1!$B$2:$F$22000,SMALL(IF(Sheet1!$A$2:$A$22000=$A$1,ROW(Sheet1!$B$2:$B$22000)),ROW($A55:$F55))-1,4)</f>
        <v>0</v>
      </c>
      <c r="F57" s="4">
        <f t="array" ref="F57">INDEX(Sheet1!$B$2:$F$22000,SMALL(IF(Sheet1!$A$2:$A$22000=$A$1,ROW(Sheet1!$B$2:$B$22000)),ROW($A55:$F55))-1,5)</f>
        <v>0</v>
      </c>
      <c r="M57" s="9">
        <v>55</v>
      </c>
      <c r="N57" s="10">
        <f t="shared" si="2"/>
        <v>0</v>
      </c>
      <c r="O57" s="11">
        <f t="shared" si="3"/>
        <v>0</v>
      </c>
      <c r="P57" s="12">
        <f t="shared" si="4"/>
        <v>0</v>
      </c>
      <c r="Q57" s="13">
        <f t="shared" si="5"/>
        <v>0</v>
      </c>
      <c r="V57" s="14">
        <f t="shared" si="0"/>
        <v>0.107421875</v>
      </c>
      <c r="W57" s="10">
        <f t="shared" si="6"/>
        <v>0</v>
      </c>
      <c r="X57" s="11">
        <f t="shared" si="6"/>
        <v>0</v>
      </c>
      <c r="Y57" s="12">
        <f t="shared" si="6"/>
        <v>0</v>
      </c>
      <c r="Z57" s="13">
        <f t="shared" si="6"/>
        <v>0</v>
      </c>
    </row>
    <row r="58" spans="1:26" x14ac:dyDescent="0.25">
      <c r="A58" s="4"/>
      <c r="B58" s="4">
        <v>56</v>
      </c>
      <c r="C58" s="4">
        <f t="array" ref="C58">INDEX(Sheet1!$B$2:$F$22000,SMALL(IF(Sheet1!$A$2:$A$22000=$A$1,ROW(Sheet1!$B$2:$B$22000)),ROW($A56:$F56))-1,2)</f>
        <v>0</v>
      </c>
      <c r="D58" s="4">
        <f t="array" ref="D58">INDEX(Sheet1!$B$2:$F$22000,SMALL(IF(Sheet1!$A$2:$A$22000=$A$1,ROW(Sheet1!$B$2:$B$22000)),ROW($A56:$F56))-1,3)</f>
        <v>0</v>
      </c>
      <c r="E58" s="4">
        <f t="array" ref="E58">INDEX(Sheet1!$B$2:$F$22000,SMALL(IF(Sheet1!$A$2:$A$22000=$A$1,ROW(Sheet1!$B$2:$B$22000)),ROW($A56:$F56))-1,4)</f>
        <v>0</v>
      </c>
      <c r="F58" s="4">
        <f t="array" ref="F58">INDEX(Sheet1!$B$2:$F$22000,SMALL(IF(Sheet1!$A$2:$A$22000=$A$1,ROW(Sheet1!$B$2:$B$22000)),ROW($A56:$F56))-1,5)</f>
        <v>0</v>
      </c>
      <c r="M58" s="9">
        <v>56</v>
      </c>
      <c r="N58" s="10">
        <f t="shared" si="2"/>
        <v>0</v>
      </c>
      <c r="O58" s="11">
        <f t="shared" si="3"/>
        <v>0</v>
      </c>
      <c r="P58" s="12">
        <f t="shared" si="4"/>
        <v>0</v>
      </c>
      <c r="Q58" s="13">
        <f t="shared" si="5"/>
        <v>0</v>
      </c>
      <c r="V58" s="14">
        <f t="shared" si="0"/>
        <v>0.109375</v>
      </c>
      <c r="W58" s="10">
        <f t="shared" si="6"/>
        <v>0</v>
      </c>
      <c r="X58" s="11">
        <f t="shared" si="6"/>
        <v>0</v>
      </c>
      <c r="Y58" s="12">
        <f t="shared" si="6"/>
        <v>0</v>
      </c>
      <c r="Z58" s="13">
        <f t="shared" si="6"/>
        <v>0</v>
      </c>
    </row>
    <row r="59" spans="1:26" x14ac:dyDescent="0.25">
      <c r="A59" s="4"/>
      <c r="B59" s="4">
        <v>57</v>
      </c>
      <c r="C59" s="4">
        <f t="array" ref="C59">INDEX(Sheet1!$B$2:$F$22000,SMALL(IF(Sheet1!$A$2:$A$22000=$A$1,ROW(Sheet1!$B$2:$B$22000)),ROW($A57:$F57))-1,2)</f>
        <v>0</v>
      </c>
      <c r="D59" s="4">
        <f t="array" ref="D59">INDEX(Sheet1!$B$2:$F$22000,SMALL(IF(Sheet1!$A$2:$A$22000=$A$1,ROW(Sheet1!$B$2:$B$22000)),ROW($A57:$F57))-1,3)</f>
        <v>0</v>
      </c>
      <c r="E59" s="4">
        <f t="array" ref="E59">INDEX(Sheet1!$B$2:$F$22000,SMALL(IF(Sheet1!$A$2:$A$22000=$A$1,ROW(Sheet1!$B$2:$B$22000)),ROW($A57:$F57))-1,4)</f>
        <v>0</v>
      </c>
      <c r="F59" s="4">
        <f t="array" ref="F59">INDEX(Sheet1!$B$2:$F$22000,SMALL(IF(Sheet1!$A$2:$A$22000=$A$1,ROW(Sheet1!$B$2:$B$22000)),ROW($A57:$F57))-1,5)</f>
        <v>0</v>
      </c>
      <c r="M59" s="9">
        <v>57</v>
      </c>
      <c r="N59" s="10">
        <f t="shared" si="2"/>
        <v>0</v>
      </c>
      <c r="O59" s="11">
        <f t="shared" si="3"/>
        <v>0</v>
      </c>
      <c r="P59" s="12">
        <f t="shared" si="4"/>
        <v>0</v>
      </c>
      <c r="Q59" s="13">
        <f t="shared" si="5"/>
        <v>0</v>
      </c>
      <c r="V59" s="14">
        <f t="shared" si="0"/>
        <v>0.111328125</v>
      </c>
      <c r="W59" s="10">
        <f t="shared" si="6"/>
        <v>0</v>
      </c>
      <c r="X59" s="11">
        <f t="shared" si="6"/>
        <v>0</v>
      </c>
      <c r="Y59" s="12">
        <f t="shared" si="6"/>
        <v>0</v>
      </c>
      <c r="Z59" s="13">
        <f t="shared" si="6"/>
        <v>0</v>
      </c>
    </row>
    <row r="60" spans="1:26" x14ac:dyDescent="0.25">
      <c r="A60" s="4"/>
      <c r="B60" s="4">
        <v>58</v>
      </c>
      <c r="C60" s="4">
        <f t="array" ref="C60">INDEX(Sheet1!$B$2:$F$22000,SMALL(IF(Sheet1!$A$2:$A$22000=$A$1,ROW(Sheet1!$B$2:$B$22000)),ROW($A58:$F58))-1,2)</f>
        <v>0</v>
      </c>
      <c r="D60" s="4">
        <f t="array" ref="D60">INDEX(Sheet1!$B$2:$F$22000,SMALL(IF(Sheet1!$A$2:$A$22000=$A$1,ROW(Sheet1!$B$2:$B$22000)),ROW($A58:$F58))-1,3)</f>
        <v>0</v>
      </c>
      <c r="E60" s="4">
        <f t="array" ref="E60">INDEX(Sheet1!$B$2:$F$22000,SMALL(IF(Sheet1!$A$2:$A$22000=$A$1,ROW(Sheet1!$B$2:$B$22000)),ROW($A58:$F58))-1,4)</f>
        <v>0</v>
      </c>
      <c r="F60" s="4">
        <f t="array" ref="F60">INDEX(Sheet1!$B$2:$F$22000,SMALL(IF(Sheet1!$A$2:$A$22000=$A$1,ROW(Sheet1!$B$2:$B$22000)),ROW($A58:$F58))-1,5)</f>
        <v>0</v>
      </c>
      <c r="M60" s="9">
        <v>58</v>
      </c>
      <c r="N60" s="10">
        <f t="shared" si="2"/>
        <v>0</v>
      </c>
      <c r="O60" s="11">
        <f t="shared" si="3"/>
        <v>0</v>
      </c>
      <c r="P60" s="12">
        <f t="shared" si="4"/>
        <v>0</v>
      </c>
      <c r="Q60" s="13">
        <f t="shared" si="5"/>
        <v>0</v>
      </c>
      <c r="V60" s="14">
        <f t="shared" si="0"/>
        <v>0.11328125</v>
      </c>
      <c r="W60" s="10">
        <f t="shared" si="6"/>
        <v>0</v>
      </c>
      <c r="X60" s="11">
        <f t="shared" si="6"/>
        <v>0</v>
      </c>
      <c r="Y60" s="12">
        <f t="shared" si="6"/>
        <v>0</v>
      </c>
      <c r="Z60" s="13">
        <f t="shared" si="6"/>
        <v>0</v>
      </c>
    </row>
    <row r="61" spans="1:26" x14ac:dyDescent="0.25">
      <c r="A61" s="4"/>
      <c r="B61" s="4">
        <v>59</v>
      </c>
      <c r="C61" s="4">
        <f t="array" ref="C61">INDEX(Sheet1!$B$2:$F$22000,SMALL(IF(Sheet1!$A$2:$A$22000=$A$1,ROW(Sheet1!$B$2:$B$22000)),ROW($A59:$F59))-1,2)</f>
        <v>0</v>
      </c>
      <c r="D61" s="4">
        <f t="array" ref="D61">INDEX(Sheet1!$B$2:$F$22000,SMALL(IF(Sheet1!$A$2:$A$22000=$A$1,ROW(Sheet1!$B$2:$B$22000)),ROW($A59:$F59))-1,3)</f>
        <v>0</v>
      </c>
      <c r="E61" s="4">
        <f t="array" ref="E61">INDEX(Sheet1!$B$2:$F$22000,SMALL(IF(Sheet1!$A$2:$A$22000=$A$1,ROW(Sheet1!$B$2:$B$22000)),ROW($A59:$F59))-1,4)</f>
        <v>0</v>
      </c>
      <c r="F61" s="4">
        <f t="array" ref="F61">INDEX(Sheet1!$B$2:$F$22000,SMALL(IF(Sheet1!$A$2:$A$22000=$A$1,ROW(Sheet1!$B$2:$B$22000)),ROW($A59:$F59))-1,5)</f>
        <v>0</v>
      </c>
      <c r="M61" s="9">
        <v>59</v>
      </c>
      <c r="N61" s="10">
        <f t="shared" si="2"/>
        <v>0</v>
      </c>
      <c r="O61" s="11">
        <f t="shared" si="3"/>
        <v>0</v>
      </c>
      <c r="P61" s="12">
        <f t="shared" si="4"/>
        <v>0</v>
      </c>
      <c r="Q61" s="13">
        <f t="shared" si="5"/>
        <v>0</v>
      </c>
      <c r="V61" s="14">
        <f t="shared" si="0"/>
        <v>0.115234375</v>
      </c>
      <c r="W61" s="10">
        <f t="shared" si="6"/>
        <v>0</v>
      </c>
      <c r="X61" s="11">
        <f t="shared" si="6"/>
        <v>0</v>
      </c>
      <c r="Y61" s="12">
        <f t="shared" si="6"/>
        <v>0</v>
      </c>
      <c r="Z61" s="13">
        <f t="shared" si="6"/>
        <v>0</v>
      </c>
    </row>
    <row r="62" spans="1:26" x14ac:dyDescent="0.25">
      <c r="A62" s="4"/>
      <c r="B62" s="4">
        <v>60</v>
      </c>
      <c r="C62" s="4">
        <f t="array" ref="C62">INDEX(Sheet1!$B$2:$F$22000,SMALL(IF(Sheet1!$A$2:$A$22000=$A$1,ROW(Sheet1!$B$2:$B$22000)),ROW($A60:$F60))-1,2)</f>
        <v>0</v>
      </c>
      <c r="D62" s="4">
        <f t="array" ref="D62">INDEX(Sheet1!$B$2:$F$22000,SMALL(IF(Sheet1!$A$2:$A$22000=$A$1,ROW(Sheet1!$B$2:$B$22000)),ROW($A60:$F60))-1,3)</f>
        <v>0</v>
      </c>
      <c r="E62" s="4">
        <f t="array" ref="E62">INDEX(Sheet1!$B$2:$F$22000,SMALL(IF(Sheet1!$A$2:$A$22000=$A$1,ROW(Sheet1!$B$2:$B$22000)),ROW($A60:$F60))-1,4)</f>
        <v>0</v>
      </c>
      <c r="F62" s="4">
        <f t="array" ref="F62">INDEX(Sheet1!$B$2:$F$22000,SMALL(IF(Sheet1!$A$2:$A$22000=$A$1,ROW(Sheet1!$B$2:$B$22000)),ROW($A60:$F60))-1,5)</f>
        <v>0</v>
      </c>
      <c r="M62" s="9">
        <v>60</v>
      </c>
      <c r="N62" s="10">
        <f t="shared" si="2"/>
        <v>0</v>
      </c>
      <c r="O62" s="11">
        <f t="shared" si="3"/>
        <v>0</v>
      </c>
      <c r="P62" s="12">
        <f t="shared" si="4"/>
        <v>0</v>
      </c>
      <c r="Q62" s="13">
        <f t="shared" si="5"/>
        <v>0</v>
      </c>
      <c r="V62" s="14">
        <f t="shared" si="0"/>
        <v>0.1171875</v>
      </c>
      <c r="W62" s="10">
        <f t="shared" si="6"/>
        <v>0</v>
      </c>
      <c r="X62" s="11">
        <f t="shared" si="6"/>
        <v>0</v>
      </c>
      <c r="Y62" s="12">
        <f t="shared" si="6"/>
        <v>0</v>
      </c>
      <c r="Z62" s="13">
        <f t="shared" si="6"/>
        <v>0</v>
      </c>
    </row>
    <row r="63" spans="1:26" x14ac:dyDescent="0.25">
      <c r="A63" s="4"/>
      <c r="B63" s="4">
        <v>61</v>
      </c>
      <c r="C63" s="4">
        <f t="array" ref="C63">INDEX(Sheet1!$B$2:$F$22000,SMALL(IF(Sheet1!$A$2:$A$22000=$A$1,ROW(Sheet1!$B$2:$B$22000)),ROW($A61:$F61))-1,2)</f>
        <v>0</v>
      </c>
      <c r="D63" s="4">
        <f t="array" ref="D63">INDEX(Sheet1!$B$2:$F$22000,SMALL(IF(Sheet1!$A$2:$A$22000=$A$1,ROW(Sheet1!$B$2:$B$22000)),ROW($A61:$F61))-1,3)</f>
        <v>0</v>
      </c>
      <c r="E63" s="4">
        <f t="array" ref="E63">INDEX(Sheet1!$B$2:$F$22000,SMALL(IF(Sheet1!$A$2:$A$22000=$A$1,ROW(Sheet1!$B$2:$B$22000)),ROW($A61:$F61))-1,4)</f>
        <v>0</v>
      </c>
      <c r="F63" s="4">
        <f t="array" ref="F63">INDEX(Sheet1!$B$2:$F$22000,SMALL(IF(Sheet1!$A$2:$A$22000=$A$1,ROW(Sheet1!$B$2:$B$22000)),ROW($A61:$F61))-1,5)</f>
        <v>0</v>
      </c>
      <c r="M63" s="9">
        <v>61</v>
      </c>
      <c r="N63" s="10">
        <f t="shared" si="2"/>
        <v>0</v>
      </c>
      <c r="O63" s="11">
        <f t="shared" si="3"/>
        <v>0</v>
      </c>
      <c r="P63" s="12">
        <f t="shared" si="4"/>
        <v>0</v>
      </c>
      <c r="Q63" s="13">
        <f t="shared" si="5"/>
        <v>0</v>
      </c>
      <c r="V63" s="14">
        <f t="shared" si="0"/>
        <v>0.119140625</v>
      </c>
      <c r="W63" s="10">
        <f t="shared" si="6"/>
        <v>0</v>
      </c>
      <c r="X63" s="11">
        <f t="shared" si="6"/>
        <v>0</v>
      </c>
      <c r="Y63" s="12">
        <f t="shared" si="6"/>
        <v>0</v>
      </c>
      <c r="Z63" s="13">
        <f t="shared" si="6"/>
        <v>0</v>
      </c>
    </row>
    <row r="64" spans="1:26" x14ac:dyDescent="0.25">
      <c r="A64" s="4"/>
      <c r="B64" s="4">
        <v>62</v>
      </c>
      <c r="C64" s="4">
        <f t="array" ref="C64">INDEX(Sheet1!$B$2:$F$22000,SMALL(IF(Sheet1!$A$2:$A$22000=$A$1,ROW(Sheet1!$B$2:$B$22000)),ROW($A62:$F62))-1,2)</f>
        <v>0</v>
      </c>
      <c r="D64" s="4">
        <f t="array" ref="D64">INDEX(Sheet1!$B$2:$F$22000,SMALL(IF(Sheet1!$A$2:$A$22000=$A$1,ROW(Sheet1!$B$2:$B$22000)),ROW($A62:$F62))-1,3)</f>
        <v>0</v>
      </c>
      <c r="E64" s="4">
        <f t="array" ref="E64">INDEX(Sheet1!$B$2:$F$22000,SMALL(IF(Sheet1!$A$2:$A$22000=$A$1,ROW(Sheet1!$B$2:$B$22000)),ROW($A62:$F62))-1,4)</f>
        <v>0</v>
      </c>
      <c r="F64" s="4">
        <f t="array" ref="F64">INDEX(Sheet1!$B$2:$F$22000,SMALL(IF(Sheet1!$A$2:$A$22000=$A$1,ROW(Sheet1!$B$2:$B$22000)),ROW($A62:$F62))-1,5)</f>
        <v>0</v>
      </c>
      <c r="M64" s="9">
        <v>62</v>
      </c>
      <c r="N64" s="10">
        <f t="shared" si="2"/>
        <v>0</v>
      </c>
      <c r="O64" s="11">
        <f t="shared" si="3"/>
        <v>0</v>
      </c>
      <c r="P64" s="12">
        <f t="shared" si="4"/>
        <v>0</v>
      </c>
      <c r="Q64" s="13">
        <f t="shared" si="5"/>
        <v>0</v>
      </c>
      <c r="V64" s="14">
        <f t="shared" si="0"/>
        <v>0.12109375</v>
      </c>
      <c r="W64" s="10">
        <f t="shared" si="6"/>
        <v>0</v>
      </c>
      <c r="X64" s="11">
        <f t="shared" si="6"/>
        <v>0</v>
      </c>
      <c r="Y64" s="12">
        <f t="shared" si="6"/>
        <v>0</v>
      </c>
      <c r="Z64" s="13">
        <f t="shared" si="6"/>
        <v>0</v>
      </c>
    </row>
    <row r="65" spans="1:26" x14ac:dyDescent="0.25">
      <c r="A65" s="4"/>
      <c r="B65" s="4">
        <v>63</v>
      </c>
      <c r="C65" s="4">
        <f t="array" ref="C65">INDEX(Sheet1!$B$2:$F$22000,SMALL(IF(Sheet1!$A$2:$A$22000=$A$1,ROW(Sheet1!$B$2:$B$22000)),ROW($A63:$F63))-1,2)</f>
        <v>0</v>
      </c>
      <c r="D65" s="4">
        <f t="array" ref="D65">INDEX(Sheet1!$B$2:$F$22000,SMALL(IF(Sheet1!$A$2:$A$22000=$A$1,ROW(Sheet1!$B$2:$B$22000)),ROW($A63:$F63))-1,3)</f>
        <v>0</v>
      </c>
      <c r="E65" s="4">
        <f t="array" ref="E65">INDEX(Sheet1!$B$2:$F$22000,SMALL(IF(Sheet1!$A$2:$A$22000=$A$1,ROW(Sheet1!$B$2:$B$22000)),ROW($A63:$F63))-1,4)</f>
        <v>0</v>
      </c>
      <c r="F65" s="4">
        <f t="array" ref="F65">INDEX(Sheet1!$B$2:$F$22000,SMALL(IF(Sheet1!$A$2:$A$22000=$A$1,ROW(Sheet1!$B$2:$B$22000)),ROW($A63:$F63))-1,5)</f>
        <v>0</v>
      </c>
      <c r="M65" s="9">
        <v>63</v>
      </c>
      <c r="N65" s="10">
        <f t="shared" si="2"/>
        <v>0</v>
      </c>
      <c r="O65" s="11">
        <f t="shared" si="3"/>
        <v>0</v>
      </c>
      <c r="P65" s="12">
        <f t="shared" si="4"/>
        <v>0</v>
      </c>
      <c r="Q65" s="13">
        <f t="shared" si="5"/>
        <v>0</v>
      </c>
      <c r="V65" s="14">
        <f t="shared" si="0"/>
        <v>0.123046875</v>
      </c>
      <c r="W65" s="10">
        <f t="shared" si="6"/>
        <v>0</v>
      </c>
      <c r="X65" s="11">
        <f t="shared" si="6"/>
        <v>0</v>
      </c>
      <c r="Y65" s="12">
        <f t="shared" si="6"/>
        <v>0</v>
      </c>
      <c r="Z65" s="13">
        <f t="shared" si="6"/>
        <v>0</v>
      </c>
    </row>
    <row r="66" spans="1:26" x14ac:dyDescent="0.25">
      <c r="A66" s="4"/>
      <c r="B66" s="4">
        <v>64</v>
      </c>
      <c r="C66" s="4">
        <f t="array" ref="C66">INDEX(Sheet1!$B$2:$F$22000,SMALL(IF(Sheet1!$A$2:$A$22000=$A$1,ROW(Sheet1!$B$2:$B$22000)),ROW($A64:$F64))-1,2)</f>
        <v>0</v>
      </c>
      <c r="D66" s="4">
        <f t="array" ref="D66">INDEX(Sheet1!$B$2:$F$22000,SMALL(IF(Sheet1!$A$2:$A$22000=$A$1,ROW(Sheet1!$B$2:$B$22000)),ROW($A64:$F64))-1,3)</f>
        <v>0</v>
      </c>
      <c r="E66" s="4">
        <f t="array" ref="E66">INDEX(Sheet1!$B$2:$F$22000,SMALL(IF(Sheet1!$A$2:$A$22000=$A$1,ROW(Sheet1!$B$2:$B$22000)),ROW($A64:$F64))-1,4)</f>
        <v>0</v>
      </c>
      <c r="F66" s="4">
        <f t="array" ref="F66">INDEX(Sheet1!$B$2:$F$22000,SMALL(IF(Sheet1!$A$2:$A$22000=$A$1,ROW(Sheet1!$B$2:$B$22000)),ROW($A64:$F64))-1,5)</f>
        <v>0</v>
      </c>
      <c r="M66" s="9">
        <v>64</v>
      </c>
      <c r="N66" s="10">
        <f t="shared" si="2"/>
        <v>0</v>
      </c>
      <c r="O66" s="11">
        <f t="shared" si="3"/>
        <v>0</v>
      </c>
      <c r="P66" s="12">
        <f t="shared" si="4"/>
        <v>0</v>
      </c>
      <c r="Q66" s="13">
        <f t="shared" si="5"/>
        <v>0</v>
      </c>
      <c r="V66" s="14">
        <f t="shared" ref="V66:V129" si="7">$M66*(1/512)</f>
        <v>0.125</v>
      </c>
      <c r="W66" s="10">
        <f t="shared" si="6"/>
        <v>0</v>
      </c>
      <c r="X66" s="11">
        <f t="shared" si="6"/>
        <v>0</v>
      </c>
      <c r="Y66" s="12">
        <f t="shared" si="6"/>
        <v>0</v>
      </c>
      <c r="Z66" s="13">
        <f t="shared" si="6"/>
        <v>0</v>
      </c>
    </row>
    <row r="67" spans="1:26" x14ac:dyDescent="0.25">
      <c r="A67" s="4"/>
      <c r="B67" s="4">
        <v>65</v>
      </c>
      <c r="C67" s="4">
        <f t="array" ref="C67">INDEX(Sheet1!$B$2:$F$22000,SMALL(IF(Sheet1!$A$2:$A$22000=$A$1,ROW(Sheet1!$B$2:$B$22000)),ROW($A65:$F65))-1,2)</f>
        <v>0</v>
      </c>
      <c r="D67" s="4">
        <f t="array" ref="D67">INDEX(Sheet1!$B$2:$F$22000,SMALL(IF(Sheet1!$A$2:$A$22000=$A$1,ROW(Sheet1!$B$2:$B$22000)),ROW($A65:$F65))-1,3)</f>
        <v>0</v>
      </c>
      <c r="E67" s="4">
        <f t="array" ref="E67">INDEX(Sheet1!$B$2:$F$22000,SMALL(IF(Sheet1!$A$2:$A$22000=$A$1,ROW(Sheet1!$B$2:$B$22000)),ROW($A65:$F65))-1,4)</f>
        <v>0</v>
      </c>
      <c r="F67" s="4">
        <f t="array" ref="F67">INDEX(Sheet1!$B$2:$F$22000,SMALL(IF(Sheet1!$A$2:$A$22000=$A$1,ROW(Sheet1!$B$2:$B$22000)),ROW($A65:$F65))-1,5)</f>
        <v>0</v>
      </c>
      <c r="M67" s="9">
        <v>65</v>
      </c>
      <c r="N67" s="10">
        <f t="shared" si="2"/>
        <v>0</v>
      </c>
      <c r="O67" s="11">
        <f t="shared" si="3"/>
        <v>0</v>
      </c>
      <c r="P67" s="12">
        <f t="shared" si="4"/>
        <v>0</v>
      </c>
      <c r="Q67" s="13">
        <f t="shared" si="5"/>
        <v>0</v>
      </c>
      <c r="V67" s="14">
        <f t="shared" si="7"/>
        <v>0.126953125</v>
      </c>
      <c r="W67" s="10">
        <f t="shared" si="6"/>
        <v>0</v>
      </c>
      <c r="X67" s="11">
        <f t="shared" si="6"/>
        <v>0</v>
      </c>
      <c r="Y67" s="12">
        <f t="shared" si="6"/>
        <v>0</v>
      </c>
      <c r="Z67" s="13">
        <f t="shared" si="6"/>
        <v>0</v>
      </c>
    </row>
    <row r="68" spans="1:26" x14ac:dyDescent="0.25">
      <c r="A68" s="4"/>
      <c r="B68" s="4">
        <v>66</v>
      </c>
      <c r="C68" s="4">
        <f t="array" ref="C68">INDEX(Sheet1!$B$2:$F$22000,SMALL(IF(Sheet1!$A$2:$A$22000=$A$1,ROW(Sheet1!$B$2:$B$22000)),ROW($A66:$F66))-1,2)</f>
        <v>0</v>
      </c>
      <c r="D68" s="4">
        <f t="array" ref="D68">INDEX(Sheet1!$B$2:$F$22000,SMALL(IF(Sheet1!$A$2:$A$22000=$A$1,ROW(Sheet1!$B$2:$B$22000)),ROW($A66:$F66))-1,3)</f>
        <v>0</v>
      </c>
      <c r="E68" s="4">
        <f t="array" ref="E68">INDEX(Sheet1!$B$2:$F$22000,SMALL(IF(Sheet1!$A$2:$A$22000=$A$1,ROW(Sheet1!$B$2:$B$22000)),ROW($A66:$F66))-1,4)</f>
        <v>0</v>
      </c>
      <c r="F68" s="4">
        <f t="array" ref="F68">INDEX(Sheet1!$B$2:$F$22000,SMALL(IF(Sheet1!$A$2:$A$22000=$A$1,ROW(Sheet1!$B$2:$B$22000)),ROW($A66:$F66))-1,5)</f>
        <v>0</v>
      </c>
      <c r="M68" s="9">
        <v>66</v>
      </c>
      <c r="N68" s="10">
        <f t="shared" ref="N68:N131" si="8">C68</f>
        <v>0</v>
      </c>
      <c r="O68" s="11">
        <f t="shared" ref="O68:O131" si="9">D68</f>
        <v>0</v>
      </c>
      <c r="P68" s="12">
        <f t="shared" ref="P68:P131" si="10">E68</f>
        <v>0</v>
      </c>
      <c r="Q68" s="13">
        <f t="shared" ref="Q68:Q131" si="11">F68</f>
        <v>0</v>
      </c>
      <c r="V68" s="14">
        <f t="shared" si="7"/>
        <v>0.12890625</v>
      </c>
      <c r="W68" s="10">
        <f t="shared" ref="W68:Z131" si="12">IMABS(R68)</f>
        <v>0</v>
      </c>
      <c r="X68" s="11">
        <f t="shared" si="12"/>
        <v>0</v>
      </c>
      <c r="Y68" s="12">
        <f t="shared" si="12"/>
        <v>0</v>
      </c>
      <c r="Z68" s="13">
        <f t="shared" si="12"/>
        <v>0</v>
      </c>
    </row>
    <row r="69" spans="1:26" x14ac:dyDescent="0.25">
      <c r="A69" s="4"/>
      <c r="B69" s="4">
        <v>67</v>
      </c>
      <c r="C69" s="4">
        <f t="array" ref="C69">INDEX(Sheet1!$B$2:$F$22000,SMALL(IF(Sheet1!$A$2:$A$22000=$A$1,ROW(Sheet1!$B$2:$B$22000)),ROW($A67:$F67))-1,2)</f>
        <v>0</v>
      </c>
      <c r="D69" s="4">
        <f t="array" ref="D69">INDEX(Sheet1!$B$2:$F$22000,SMALL(IF(Sheet1!$A$2:$A$22000=$A$1,ROW(Sheet1!$B$2:$B$22000)),ROW($A67:$F67))-1,3)</f>
        <v>0</v>
      </c>
      <c r="E69" s="4">
        <f t="array" ref="E69">INDEX(Sheet1!$B$2:$F$22000,SMALL(IF(Sheet1!$A$2:$A$22000=$A$1,ROW(Sheet1!$B$2:$B$22000)),ROW($A67:$F67))-1,4)</f>
        <v>0</v>
      </c>
      <c r="F69" s="4">
        <f t="array" ref="F69">INDEX(Sheet1!$B$2:$F$22000,SMALL(IF(Sheet1!$A$2:$A$22000=$A$1,ROW(Sheet1!$B$2:$B$22000)),ROW($A67:$F67))-1,5)</f>
        <v>0</v>
      </c>
      <c r="M69" s="9">
        <v>67</v>
      </c>
      <c r="N69" s="10">
        <f t="shared" si="8"/>
        <v>0</v>
      </c>
      <c r="O69" s="11">
        <f t="shared" si="9"/>
        <v>0</v>
      </c>
      <c r="P69" s="12">
        <f t="shared" si="10"/>
        <v>0</v>
      </c>
      <c r="Q69" s="13">
        <f t="shared" si="11"/>
        <v>0</v>
      </c>
      <c r="V69" s="14">
        <f t="shared" si="7"/>
        <v>0.130859375</v>
      </c>
      <c r="W69" s="10">
        <f t="shared" si="12"/>
        <v>0</v>
      </c>
      <c r="X69" s="11">
        <f t="shared" si="12"/>
        <v>0</v>
      </c>
      <c r="Y69" s="12">
        <f t="shared" si="12"/>
        <v>0</v>
      </c>
      <c r="Z69" s="13">
        <f t="shared" si="12"/>
        <v>0</v>
      </c>
    </row>
    <row r="70" spans="1:26" x14ac:dyDescent="0.25">
      <c r="A70" s="4"/>
      <c r="B70" s="4">
        <v>68</v>
      </c>
      <c r="C70" s="4">
        <f t="array" ref="C70">INDEX(Sheet1!$B$2:$F$22000,SMALL(IF(Sheet1!$A$2:$A$22000=$A$1,ROW(Sheet1!$B$2:$B$22000)),ROW($A68:$F68))-1,2)</f>
        <v>0</v>
      </c>
      <c r="D70" s="4">
        <f t="array" ref="D70">INDEX(Sheet1!$B$2:$F$22000,SMALL(IF(Sheet1!$A$2:$A$22000=$A$1,ROW(Sheet1!$B$2:$B$22000)),ROW($A68:$F68))-1,3)</f>
        <v>0</v>
      </c>
      <c r="E70" s="4">
        <f t="array" ref="E70">INDEX(Sheet1!$B$2:$F$22000,SMALL(IF(Sheet1!$A$2:$A$22000=$A$1,ROW(Sheet1!$B$2:$B$22000)),ROW($A68:$F68))-1,4)</f>
        <v>0</v>
      </c>
      <c r="F70" s="4">
        <f t="array" ref="F70">INDEX(Sheet1!$B$2:$F$22000,SMALL(IF(Sheet1!$A$2:$A$22000=$A$1,ROW(Sheet1!$B$2:$B$22000)),ROW($A68:$F68))-1,5)</f>
        <v>0</v>
      </c>
      <c r="M70" s="9">
        <v>68</v>
      </c>
      <c r="N70" s="10">
        <f t="shared" si="8"/>
        <v>0</v>
      </c>
      <c r="O70" s="11">
        <f t="shared" si="9"/>
        <v>0</v>
      </c>
      <c r="P70" s="12">
        <f t="shared" si="10"/>
        <v>0</v>
      </c>
      <c r="Q70" s="13">
        <f t="shared" si="11"/>
        <v>0</v>
      </c>
      <c r="V70" s="14">
        <f t="shared" si="7"/>
        <v>0.1328125</v>
      </c>
      <c r="W70" s="10">
        <f t="shared" si="12"/>
        <v>0</v>
      </c>
      <c r="X70" s="11">
        <f t="shared" si="12"/>
        <v>0</v>
      </c>
      <c r="Y70" s="12">
        <f t="shared" si="12"/>
        <v>0</v>
      </c>
      <c r="Z70" s="13">
        <f t="shared" si="12"/>
        <v>0</v>
      </c>
    </row>
    <row r="71" spans="1:26" x14ac:dyDescent="0.25">
      <c r="A71" s="4"/>
      <c r="B71" s="4">
        <v>69</v>
      </c>
      <c r="C71" s="4">
        <f t="array" ref="C71">INDEX(Sheet1!$B$2:$F$22000,SMALL(IF(Sheet1!$A$2:$A$22000=$A$1,ROW(Sheet1!$B$2:$B$22000)),ROW($A69:$F69))-1,2)</f>
        <v>0</v>
      </c>
      <c r="D71" s="4">
        <f t="array" ref="D71">INDEX(Sheet1!$B$2:$F$22000,SMALL(IF(Sheet1!$A$2:$A$22000=$A$1,ROW(Sheet1!$B$2:$B$22000)),ROW($A69:$F69))-1,3)</f>
        <v>0</v>
      </c>
      <c r="E71" s="4">
        <f t="array" ref="E71">INDEX(Sheet1!$B$2:$F$22000,SMALL(IF(Sheet1!$A$2:$A$22000=$A$1,ROW(Sheet1!$B$2:$B$22000)),ROW($A69:$F69))-1,4)</f>
        <v>0</v>
      </c>
      <c r="F71" s="4">
        <f t="array" ref="F71">INDEX(Sheet1!$B$2:$F$22000,SMALL(IF(Sheet1!$A$2:$A$22000=$A$1,ROW(Sheet1!$B$2:$B$22000)),ROW($A69:$F69))-1,5)</f>
        <v>0</v>
      </c>
      <c r="M71" s="9">
        <v>69</v>
      </c>
      <c r="N71" s="10">
        <f t="shared" si="8"/>
        <v>0</v>
      </c>
      <c r="O71" s="11">
        <f t="shared" si="9"/>
        <v>0</v>
      </c>
      <c r="P71" s="12">
        <f t="shared" si="10"/>
        <v>0</v>
      </c>
      <c r="Q71" s="13">
        <f t="shared" si="11"/>
        <v>0</v>
      </c>
      <c r="V71" s="14">
        <f t="shared" si="7"/>
        <v>0.134765625</v>
      </c>
      <c r="W71" s="10">
        <f t="shared" si="12"/>
        <v>0</v>
      </c>
      <c r="X71" s="11">
        <f t="shared" si="12"/>
        <v>0</v>
      </c>
      <c r="Y71" s="12">
        <f t="shared" si="12"/>
        <v>0</v>
      </c>
      <c r="Z71" s="13">
        <f t="shared" si="12"/>
        <v>0</v>
      </c>
    </row>
    <row r="72" spans="1:26" x14ac:dyDescent="0.25">
      <c r="A72" s="4"/>
      <c r="B72" s="4">
        <v>70</v>
      </c>
      <c r="C72" s="4">
        <f t="array" ref="C72">INDEX(Sheet1!$B$2:$F$22000,SMALL(IF(Sheet1!$A$2:$A$22000=$A$1,ROW(Sheet1!$B$2:$B$22000)),ROW($A70:$F70))-1,2)</f>
        <v>0</v>
      </c>
      <c r="D72" s="4">
        <f t="array" ref="D72">INDEX(Sheet1!$B$2:$F$22000,SMALL(IF(Sheet1!$A$2:$A$22000=$A$1,ROW(Sheet1!$B$2:$B$22000)),ROW($A70:$F70))-1,3)</f>
        <v>0</v>
      </c>
      <c r="E72" s="4">
        <f t="array" ref="E72">INDEX(Sheet1!$B$2:$F$22000,SMALL(IF(Sheet1!$A$2:$A$22000=$A$1,ROW(Sheet1!$B$2:$B$22000)),ROW($A70:$F70))-1,4)</f>
        <v>0</v>
      </c>
      <c r="F72" s="4">
        <f t="array" ref="F72">INDEX(Sheet1!$B$2:$F$22000,SMALL(IF(Sheet1!$A$2:$A$22000=$A$1,ROW(Sheet1!$B$2:$B$22000)),ROW($A70:$F70))-1,5)</f>
        <v>0</v>
      </c>
      <c r="M72" s="9">
        <v>70</v>
      </c>
      <c r="N72" s="10">
        <f t="shared" si="8"/>
        <v>0</v>
      </c>
      <c r="O72" s="11">
        <f t="shared" si="9"/>
        <v>0</v>
      </c>
      <c r="P72" s="12">
        <f t="shared" si="10"/>
        <v>0</v>
      </c>
      <c r="Q72" s="13">
        <f t="shared" si="11"/>
        <v>0</v>
      </c>
      <c r="V72" s="14">
        <f t="shared" si="7"/>
        <v>0.13671875</v>
      </c>
      <c r="W72" s="10">
        <f t="shared" si="12"/>
        <v>0</v>
      </c>
      <c r="X72" s="11">
        <f t="shared" si="12"/>
        <v>0</v>
      </c>
      <c r="Y72" s="12">
        <f t="shared" si="12"/>
        <v>0</v>
      </c>
      <c r="Z72" s="13">
        <f t="shared" si="12"/>
        <v>0</v>
      </c>
    </row>
    <row r="73" spans="1:26" x14ac:dyDescent="0.25">
      <c r="A73" s="4"/>
      <c r="B73" s="4">
        <v>71</v>
      </c>
      <c r="C73" s="4">
        <f t="array" ref="C73">INDEX(Sheet1!$B$2:$F$22000,SMALL(IF(Sheet1!$A$2:$A$22000=$A$1,ROW(Sheet1!$B$2:$B$22000)),ROW($A71:$F71))-1,2)</f>
        <v>0</v>
      </c>
      <c r="D73" s="4">
        <f t="array" ref="D73">INDEX(Sheet1!$B$2:$F$22000,SMALL(IF(Sheet1!$A$2:$A$22000=$A$1,ROW(Sheet1!$B$2:$B$22000)),ROW($A71:$F71))-1,3)</f>
        <v>0</v>
      </c>
      <c r="E73" s="4">
        <f t="array" ref="E73">INDEX(Sheet1!$B$2:$F$22000,SMALL(IF(Sheet1!$A$2:$A$22000=$A$1,ROW(Sheet1!$B$2:$B$22000)),ROW($A71:$F71))-1,4)</f>
        <v>0</v>
      </c>
      <c r="F73" s="4">
        <f t="array" ref="F73">INDEX(Sheet1!$B$2:$F$22000,SMALL(IF(Sheet1!$A$2:$A$22000=$A$1,ROW(Sheet1!$B$2:$B$22000)),ROW($A71:$F71))-1,5)</f>
        <v>0</v>
      </c>
      <c r="M73" s="9">
        <v>71</v>
      </c>
      <c r="N73" s="10">
        <f t="shared" si="8"/>
        <v>0</v>
      </c>
      <c r="O73" s="11">
        <f t="shared" si="9"/>
        <v>0</v>
      </c>
      <c r="P73" s="12">
        <f t="shared" si="10"/>
        <v>0</v>
      </c>
      <c r="Q73" s="13">
        <f t="shared" si="11"/>
        <v>0</v>
      </c>
      <c r="V73" s="14">
        <f t="shared" si="7"/>
        <v>0.138671875</v>
      </c>
      <c r="W73" s="10">
        <f t="shared" si="12"/>
        <v>0</v>
      </c>
      <c r="X73" s="11">
        <f t="shared" si="12"/>
        <v>0</v>
      </c>
      <c r="Y73" s="12">
        <f t="shared" si="12"/>
        <v>0</v>
      </c>
      <c r="Z73" s="13">
        <f t="shared" si="12"/>
        <v>0</v>
      </c>
    </row>
    <row r="74" spans="1:26" x14ac:dyDescent="0.25">
      <c r="A74" s="4"/>
      <c r="B74" s="4">
        <v>72</v>
      </c>
      <c r="C74" s="4">
        <f t="array" ref="C74">INDEX(Sheet1!$B$2:$F$22000,SMALL(IF(Sheet1!$A$2:$A$22000=$A$1,ROW(Sheet1!$B$2:$B$22000)),ROW($A72:$F72))-1,2)</f>
        <v>0</v>
      </c>
      <c r="D74" s="4">
        <f t="array" ref="D74">INDEX(Sheet1!$B$2:$F$22000,SMALL(IF(Sheet1!$A$2:$A$22000=$A$1,ROW(Sheet1!$B$2:$B$22000)),ROW($A72:$F72))-1,3)</f>
        <v>0</v>
      </c>
      <c r="E74" s="4">
        <f t="array" ref="E74">INDEX(Sheet1!$B$2:$F$22000,SMALL(IF(Sheet1!$A$2:$A$22000=$A$1,ROW(Sheet1!$B$2:$B$22000)),ROW($A72:$F72))-1,4)</f>
        <v>0</v>
      </c>
      <c r="F74" s="4">
        <f t="array" ref="F74">INDEX(Sheet1!$B$2:$F$22000,SMALL(IF(Sheet1!$A$2:$A$22000=$A$1,ROW(Sheet1!$B$2:$B$22000)),ROW($A72:$F72))-1,5)</f>
        <v>0</v>
      </c>
      <c r="M74" s="9">
        <v>72</v>
      </c>
      <c r="N74" s="10">
        <f t="shared" si="8"/>
        <v>0</v>
      </c>
      <c r="O74" s="11">
        <f t="shared" si="9"/>
        <v>0</v>
      </c>
      <c r="P74" s="12">
        <f t="shared" si="10"/>
        <v>0</v>
      </c>
      <c r="Q74" s="13">
        <f t="shared" si="11"/>
        <v>0</v>
      </c>
      <c r="V74" s="14">
        <f t="shared" si="7"/>
        <v>0.140625</v>
      </c>
      <c r="W74" s="10">
        <f t="shared" si="12"/>
        <v>0</v>
      </c>
      <c r="X74" s="11">
        <f t="shared" si="12"/>
        <v>0</v>
      </c>
      <c r="Y74" s="12">
        <f t="shared" si="12"/>
        <v>0</v>
      </c>
      <c r="Z74" s="13">
        <f t="shared" si="12"/>
        <v>0</v>
      </c>
    </row>
    <row r="75" spans="1:26" x14ac:dyDescent="0.25">
      <c r="A75" s="4"/>
      <c r="B75" s="4">
        <v>73</v>
      </c>
      <c r="C75" s="4">
        <f t="array" ref="C75">INDEX(Sheet1!$B$2:$F$22000,SMALL(IF(Sheet1!$A$2:$A$22000=$A$1,ROW(Sheet1!$B$2:$B$22000)),ROW($A73:$F73))-1,2)</f>
        <v>0</v>
      </c>
      <c r="D75" s="4">
        <f t="array" ref="D75">INDEX(Sheet1!$B$2:$F$22000,SMALL(IF(Sheet1!$A$2:$A$22000=$A$1,ROW(Sheet1!$B$2:$B$22000)),ROW($A73:$F73))-1,3)</f>
        <v>0</v>
      </c>
      <c r="E75" s="4">
        <f t="array" ref="E75">INDEX(Sheet1!$B$2:$F$22000,SMALL(IF(Sheet1!$A$2:$A$22000=$A$1,ROW(Sheet1!$B$2:$B$22000)),ROW($A73:$F73))-1,4)</f>
        <v>0</v>
      </c>
      <c r="F75" s="4">
        <f t="array" ref="F75">INDEX(Sheet1!$B$2:$F$22000,SMALL(IF(Sheet1!$A$2:$A$22000=$A$1,ROW(Sheet1!$B$2:$B$22000)),ROW($A73:$F73))-1,5)</f>
        <v>0</v>
      </c>
      <c r="M75" s="9">
        <v>73</v>
      </c>
      <c r="N75" s="10">
        <f t="shared" si="8"/>
        <v>0</v>
      </c>
      <c r="O75" s="11">
        <f t="shared" si="9"/>
        <v>0</v>
      </c>
      <c r="P75" s="12">
        <f t="shared" si="10"/>
        <v>0</v>
      </c>
      <c r="Q75" s="13">
        <f t="shared" si="11"/>
        <v>0</v>
      </c>
      <c r="V75" s="14">
        <f t="shared" si="7"/>
        <v>0.142578125</v>
      </c>
      <c r="W75" s="10">
        <f t="shared" si="12"/>
        <v>0</v>
      </c>
      <c r="X75" s="11">
        <f t="shared" si="12"/>
        <v>0</v>
      </c>
      <c r="Y75" s="12">
        <f t="shared" si="12"/>
        <v>0</v>
      </c>
      <c r="Z75" s="13">
        <f t="shared" si="12"/>
        <v>0</v>
      </c>
    </row>
    <row r="76" spans="1:26" x14ac:dyDescent="0.25">
      <c r="A76" s="4"/>
      <c r="B76" s="4">
        <v>74</v>
      </c>
      <c r="C76" s="4">
        <f t="array" ref="C76">INDEX(Sheet1!$B$2:$F$22000,SMALL(IF(Sheet1!$A$2:$A$22000=$A$1,ROW(Sheet1!$B$2:$B$22000)),ROW($A74:$F74))-1,2)</f>
        <v>0</v>
      </c>
      <c r="D76" s="4">
        <f t="array" ref="D76">INDEX(Sheet1!$B$2:$F$22000,SMALL(IF(Sheet1!$A$2:$A$22000=$A$1,ROW(Sheet1!$B$2:$B$22000)),ROW($A74:$F74))-1,3)</f>
        <v>0</v>
      </c>
      <c r="E76" s="4">
        <f t="array" ref="E76">INDEX(Sheet1!$B$2:$F$22000,SMALL(IF(Sheet1!$A$2:$A$22000=$A$1,ROW(Sheet1!$B$2:$B$22000)),ROW($A74:$F74))-1,4)</f>
        <v>0</v>
      </c>
      <c r="F76" s="4">
        <f t="array" ref="F76">INDEX(Sheet1!$B$2:$F$22000,SMALL(IF(Sheet1!$A$2:$A$22000=$A$1,ROW(Sheet1!$B$2:$B$22000)),ROW($A74:$F74))-1,5)</f>
        <v>0</v>
      </c>
      <c r="M76" s="9">
        <v>74</v>
      </c>
      <c r="N76" s="10">
        <f t="shared" si="8"/>
        <v>0</v>
      </c>
      <c r="O76" s="11">
        <f t="shared" si="9"/>
        <v>0</v>
      </c>
      <c r="P76" s="12">
        <f t="shared" si="10"/>
        <v>0</v>
      </c>
      <c r="Q76" s="13">
        <f t="shared" si="11"/>
        <v>0</v>
      </c>
      <c r="V76" s="14">
        <f t="shared" si="7"/>
        <v>0.14453125</v>
      </c>
      <c r="W76" s="10">
        <f t="shared" si="12"/>
        <v>0</v>
      </c>
      <c r="X76" s="11">
        <f t="shared" si="12"/>
        <v>0</v>
      </c>
      <c r="Y76" s="12">
        <f t="shared" si="12"/>
        <v>0</v>
      </c>
      <c r="Z76" s="13">
        <f t="shared" si="12"/>
        <v>0</v>
      </c>
    </row>
    <row r="77" spans="1:26" x14ac:dyDescent="0.25">
      <c r="A77" s="4"/>
      <c r="B77" s="4">
        <v>75</v>
      </c>
      <c r="C77" s="4">
        <f t="array" ref="C77">INDEX(Sheet1!$B$2:$F$22000,SMALL(IF(Sheet1!$A$2:$A$22000=$A$1,ROW(Sheet1!$B$2:$B$22000)),ROW($A75:$F75))-1,2)</f>
        <v>0</v>
      </c>
      <c r="D77" s="4">
        <f t="array" ref="D77">INDEX(Sheet1!$B$2:$F$22000,SMALL(IF(Sheet1!$A$2:$A$22000=$A$1,ROW(Sheet1!$B$2:$B$22000)),ROW($A75:$F75))-1,3)</f>
        <v>0</v>
      </c>
      <c r="E77" s="4">
        <f t="array" ref="E77">INDEX(Sheet1!$B$2:$F$22000,SMALL(IF(Sheet1!$A$2:$A$22000=$A$1,ROW(Sheet1!$B$2:$B$22000)),ROW($A75:$F75))-1,4)</f>
        <v>0</v>
      </c>
      <c r="F77" s="4">
        <f t="array" ref="F77">INDEX(Sheet1!$B$2:$F$22000,SMALL(IF(Sheet1!$A$2:$A$22000=$A$1,ROW(Sheet1!$B$2:$B$22000)),ROW($A75:$F75))-1,5)</f>
        <v>0</v>
      </c>
      <c r="M77" s="9">
        <v>75</v>
      </c>
      <c r="N77" s="10">
        <f t="shared" si="8"/>
        <v>0</v>
      </c>
      <c r="O77" s="11">
        <f t="shared" si="9"/>
        <v>0</v>
      </c>
      <c r="P77" s="12">
        <f t="shared" si="10"/>
        <v>0</v>
      </c>
      <c r="Q77" s="13">
        <f t="shared" si="11"/>
        <v>0</v>
      </c>
      <c r="V77" s="14">
        <f t="shared" si="7"/>
        <v>0.146484375</v>
      </c>
      <c r="W77" s="10">
        <f t="shared" si="12"/>
        <v>0</v>
      </c>
      <c r="X77" s="11">
        <f t="shared" si="12"/>
        <v>0</v>
      </c>
      <c r="Y77" s="12">
        <f t="shared" si="12"/>
        <v>0</v>
      </c>
      <c r="Z77" s="13">
        <f t="shared" si="12"/>
        <v>0</v>
      </c>
    </row>
    <row r="78" spans="1:26" x14ac:dyDescent="0.25">
      <c r="A78" s="4"/>
      <c r="B78" s="4">
        <v>76</v>
      </c>
      <c r="C78" s="4">
        <f t="array" ref="C78">INDEX(Sheet1!$B$2:$F$22000,SMALL(IF(Sheet1!$A$2:$A$22000=$A$1,ROW(Sheet1!$B$2:$B$22000)),ROW($A76:$F76))-1,2)</f>
        <v>0</v>
      </c>
      <c r="D78" s="4">
        <f t="array" ref="D78">INDEX(Sheet1!$B$2:$F$22000,SMALL(IF(Sheet1!$A$2:$A$22000=$A$1,ROW(Sheet1!$B$2:$B$22000)),ROW($A76:$F76))-1,3)</f>
        <v>0</v>
      </c>
      <c r="E78" s="4">
        <f t="array" ref="E78">INDEX(Sheet1!$B$2:$F$22000,SMALL(IF(Sheet1!$A$2:$A$22000=$A$1,ROW(Sheet1!$B$2:$B$22000)),ROW($A76:$F76))-1,4)</f>
        <v>0</v>
      </c>
      <c r="F78" s="4">
        <f t="array" ref="F78">INDEX(Sheet1!$B$2:$F$22000,SMALL(IF(Sheet1!$A$2:$A$22000=$A$1,ROW(Sheet1!$B$2:$B$22000)),ROW($A76:$F76))-1,5)</f>
        <v>0</v>
      </c>
      <c r="M78" s="9">
        <v>76</v>
      </c>
      <c r="N78" s="10">
        <f t="shared" si="8"/>
        <v>0</v>
      </c>
      <c r="O78" s="11">
        <f t="shared" si="9"/>
        <v>0</v>
      </c>
      <c r="P78" s="12">
        <f t="shared" si="10"/>
        <v>0</v>
      </c>
      <c r="Q78" s="13">
        <f t="shared" si="11"/>
        <v>0</v>
      </c>
      <c r="V78" s="14">
        <f t="shared" si="7"/>
        <v>0.1484375</v>
      </c>
      <c r="W78" s="10">
        <f t="shared" si="12"/>
        <v>0</v>
      </c>
      <c r="X78" s="11">
        <f t="shared" si="12"/>
        <v>0</v>
      </c>
      <c r="Y78" s="12">
        <f t="shared" si="12"/>
        <v>0</v>
      </c>
      <c r="Z78" s="13">
        <f t="shared" si="12"/>
        <v>0</v>
      </c>
    </row>
    <row r="79" spans="1:26" x14ac:dyDescent="0.25">
      <c r="A79" s="4"/>
      <c r="B79" s="4">
        <v>77</v>
      </c>
      <c r="C79" s="4">
        <f t="array" ref="C79">INDEX(Sheet1!$B$2:$F$22000,SMALL(IF(Sheet1!$A$2:$A$22000=$A$1,ROW(Sheet1!$B$2:$B$22000)),ROW($A77:$F77))-1,2)</f>
        <v>0</v>
      </c>
      <c r="D79" s="4">
        <f t="array" ref="D79">INDEX(Sheet1!$B$2:$F$22000,SMALL(IF(Sheet1!$A$2:$A$22000=$A$1,ROW(Sheet1!$B$2:$B$22000)),ROW($A77:$F77))-1,3)</f>
        <v>0</v>
      </c>
      <c r="E79" s="4">
        <f t="array" ref="E79">INDEX(Sheet1!$B$2:$F$22000,SMALL(IF(Sheet1!$A$2:$A$22000=$A$1,ROW(Sheet1!$B$2:$B$22000)),ROW($A77:$F77))-1,4)</f>
        <v>0</v>
      </c>
      <c r="F79" s="4">
        <f t="array" ref="F79">INDEX(Sheet1!$B$2:$F$22000,SMALL(IF(Sheet1!$A$2:$A$22000=$A$1,ROW(Sheet1!$B$2:$B$22000)),ROW($A77:$F77))-1,5)</f>
        <v>0</v>
      </c>
      <c r="M79" s="9">
        <v>77</v>
      </c>
      <c r="N79" s="10">
        <f t="shared" si="8"/>
        <v>0</v>
      </c>
      <c r="O79" s="11">
        <f t="shared" si="9"/>
        <v>0</v>
      </c>
      <c r="P79" s="12">
        <f t="shared" si="10"/>
        <v>0</v>
      </c>
      <c r="Q79" s="13">
        <f t="shared" si="11"/>
        <v>0</v>
      </c>
      <c r="V79" s="14">
        <f t="shared" si="7"/>
        <v>0.150390625</v>
      </c>
      <c r="W79" s="10">
        <f t="shared" si="12"/>
        <v>0</v>
      </c>
      <c r="X79" s="11">
        <f t="shared" si="12"/>
        <v>0</v>
      </c>
      <c r="Y79" s="12">
        <f t="shared" si="12"/>
        <v>0</v>
      </c>
      <c r="Z79" s="13">
        <f t="shared" si="12"/>
        <v>0</v>
      </c>
    </row>
    <row r="80" spans="1:26" x14ac:dyDescent="0.25">
      <c r="A80" s="4"/>
      <c r="B80" s="4">
        <v>78</v>
      </c>
      <c r="C80" s="4">
        <f t="array" ref="C80">INDEX(Sheet1!$B$2:$F$22000,SMALL(IF(Sheet1!$A$2:$A$22000=$A$1,ROW(Sheet1!$B$2:$B$22000)),ROW($A78:$F78))-1,2)</f>
        <v>0</v>
      </c>
      <c r="D80" s="4">
        <f t="array" ref="D80">INDEX(Sheet1!$B$2:$F$22000,SMALL(IF(Sheet1!$A$2:$A$22000=$A$1,ROW(Sheet1!$B$2:$B$22000)),ROW($A78:$F78))-1,3)</f>
        <v>0</v>
      </c>
      <c r="E80" s="4">
        <f t="array" ref="E80">INDEX(Sheet1!$B$2:$F$22000,SMALL(IF(Sheet1!$A$2:$A$22000=$A$1,ROW(Sheet1!$B$2:$B$22000)),ROW($A78:$F78))-1,4)</f>
        <v>0</v>
      </c>
      <c r="F80" s="4">
        <f t="array" ref="F80">INDEX(Sheet1!$B$2:$F$22000,SMALL(IF(Sheet1!$A$2:$A$22000=$A$1,ROW(Sheet1!$B$2:$B$22000)),ROW($A78:$F78))-1,5)</f>
        <v>0</v>
      </c>
      <c r="M80" s="9">
        <v>78</v>
      </c>
      <c r="N80" s="10">
        <f t="shared" si="8"/>
        <v>0</v>
      </c>
      <c r="O80" s="11">
        <f t="shared" si="9"/>
        <v>0</v>
      </c>
      <c r="P80" s="12">
        <f t="shared" si="10"/>
        <v>0</v>
      </c>
      <c r="Q80" s="13">
        <f t="shared" si="11"/>
        <v>0</v>
      </c>
      <c r="V80" s="14">
        <f t="shared" si="7"/>
        <v>0.15234375</v>
      </c>
      <c r="W80" s="10">
        <f t="shared" si="12"/>
        <v>0</v>
      </c>
      <c r="X80" s="11">
        <f t="shared" si="12"/>
        <v>0</v>
      </c>
      <c r="Y80" s="12">
        <f t="shared" si="12"/>
        <v>0</v>
      </c>
      <c r="Z80" s="13">
        <f t="shared" si="12"/>
        <v>0</v>
      </c>
    </row>
    <row r="81" spans="1:26" x14ac:dyDescent="0.25">
      <c r="A81" s="4"/>
      <c r="B81" s="4">
        <v>79</v>
      </c>
      <c r="C81" s="4">
        <f t="array" ref="C81">INDEX(Sheet1!$B$2:$F$22000,SMALL(IF(Sheet1!$A$2:$A$22000=$A$1,ROW(Sheet1!$B$2:$B$22000)),ROW($A79:$F79))-1,2)</f>
        <v>0</v>
      </c>
      <c r="D81" s="4">
        <f t="array" ref="D81">INDEX(Sheet1!$B$2:$F$22000,SMALL(IF(Sheet1!$A$2:$A$22000=$A$1,ROW(Sheet1!$B$2:$B$22000)),ROW($A79:$F79))-1,3)</f>
        <v>0</v>
      </c>
      <c r="E81" s="4">
        <f t="array" ref="E81">INDEX(Sheet1!$B$2:$F$22000,SMALL(IF(Sheet1!$A$2:$A$22000=$A$1,ROW(Sheet1!$B$2:$B$22000)),ROW($A79:$F79))-1,4)</f>
        <v>0</v>
      </c>
      <c r="F81" s="4">
        <f t="array" ref="F81">INDEX(Sheet1!$B$2:$F$22000,SMALL(IF(Sheet1!$A$2:$A$22000=$A$1,ROW(Sheet1!$B$2:$B$22000)),ROW($A79:$F79))-1,5)</f>
        <v>0</v>
      </c>
      <c r="M81" s="9">
        <v>79</v>
      </c>
      <c r="N81" s="10">
        <f t="shared" si="8"/>
        <v>0</v>
      </c>
      <c r="O81" s="11">
        <f t="shared" si="9"/>
        <v>0</v>
      </c>
      <c r="P81" s="12">
        <f t="shared" si="10"/>
        <v>0</v>
      </c>
      <c r="Q81" s="13">
        <f t="shared" si="11"/>
        <v>0</v>
      </c>
      <c r="V81" s="14">
        <f t="shared" si="7"/>
        <v>0.154296875</v>
      </c>
      <c r="W81" s="10">
        <f t="shared" si="12"/>
        <v>0</v>
      </c>
      <c r="X81" s="11">
        <f t="shared" si="12"/>
        <v>0</v>
      </c>
      <c r="Y81" s="12">
        <f t="shared" si="12"/>
        <v>0</v>
      </c>
      <c r="Z81" s="13">
        <f t="shared" si="12"/>
        <v>0</v>
      </c>
    </row>
    <row r="82" spans="1:26" x14ac:dyDescent="0.25">
      <c r="A82" s="4"/>
      <c r="B82" s="4">
        <v>80</v>
      </c>
      <c r="C82" s="4">
        <f t="array" ref="C82">INDEX(Sheet1!$B$2:$F$22000,SMALL(IF(Sheet1!$A$2:$A$22000=$A$1,ROW(Sheet1!$B$2:$B$22000)),ROW($A80:$F80))-1,2)</f>
        <v>0</v>
      </c>
      <c r="D82" s="4">
        <f t="array" ref="D82">INDEX(Sheet1!$B$2:$F$22000,SMALL(IF(Sheet1!$A$2:$A$22000=$A$1,ROW(Sheet1!$B$2:$B$22000)),ROW($A80:$F80))-1,3)</f>
        <v>0</v>
      </c>
      <c r="E82" s="4">
        <f t="array" ref="E82">INDEX(Sheet1!$B$2:$F$22000,SMALL(IF(Sheet1!$A$2:$A$22000=$A$1,ROW(Sheet1!$B$2:$B$22000)),ROW($A80:$F80))-1,4)</f>
        <v>0</v>
      </c>
      <c r="F82" s="4">
        <f t="array" ref="F82">INDEX(Sheet1!$B$2:$F$22000,SMALL(IF(Sheet1!$A$2:$A$22000=$A$1,ROW(Sheet1!$B$2:$B$22000)),ROW($A80:$F80))-1,5)</f>
        <v>0</v>
      </c>
      <c r="M82" s="9">
        <v>80</v>
      </c>
      <c r="N82" s="10">
        <f t="shared" si="8"/>
        <v>0</v>
      </c>
      <c r="O82" s="11">
        <f t="shared" si="9"/>
        <v>0</v>
      </c>
      <c r="P82" s="12">
        <f t="shared" si="10"/>
        <v>0</v>
      </c>
      <c r="Q82" s="13">
        <f t="shared" si="11"/>
        <v>0</v>
      </c>
      <c r="V82" s="14">
        <f t="shared" si="7"/>
        <v>0.15625</v>
      </c>
      <c r="W82" s="10">
        <f t="shared" si="12"/>
        <v>0</v>
      </c>
      <c r="X82" s="11">
        <f t="shared" si="12"/>
        <v>0</v>
      </c>
      <c r="Y82" s="12">
        <f t="shared" si="12"/>
        <v>0</v>
      </c>
      <c r="Z82" s="13">
        <f t="shared" si="12"/>
        <v>0</v>
      </c>
    </row>
    <row r="83" spans="1:26" x14ac:dyDescent="0.25">
      <c r="A83" s="4"/>
      <c r="B83" s="4">
        <v>81</v>
      </c>
      <c r="C83" s="4">
        <f t="array" ref="C83">INDEX(Sheet1!$B$2:$F$22000,SMALL(IF(Sheet1!$A$2:$A$22000=$A$1,ROW(Sheet1!$B$2:$B$22000)),ROW($A81:$F81))-1,2)</f>
        <v>0</v>
      </c>
      <c r="D83" s="4">
        <f t="array" ref="D83">INDEX(Sheet1!$B$2:$F$22000,SMALL(IF(Sheet1!$A$2:$A$22000=$A$1,ROW(Sheet1!$B$2:$B$22000)),ROW($A81:$F81))-1,3)</f>
        <v>0</v>
      </c>
      <c r="E83" s="4">
        <f t="array" ref="E83">INDEX(Sheet1!$B$2:$F$22000,SMALL(IF(Sheet1!$A$2:$A$22000=$A$1,ROW(Sheet1!$B$2:$B$22000)),ROW($A81:$F81))-1,4)</f>
        <v>0</v>
      </c>
      <c r="F83" s="4">
        <f t="array" ref="F83">INDEX(Sheet1!$B$2:$F$22000,SMALL(IF(Sheet1!$A$2:$A$22000=$A$1,ROW(Sheet1!$B$2:$B$22000)),ROW($A81:$F81))-1,5)</f>
        <v>0</v>
      </c>
      <c r="M83" s="9">
        <v>81</v>
      </c>
      <c r="N83" s="10">
        <f t="shared" si="8"/>
        <v>0</v>
      </c>
      <c r="O83" s="11">
        <f t="shared" si="9"/>
        <v>0</v>
      </c>
      <c r="P83" s="12">
        <f t="shared" si="10"/>
        <v>0</v>
      </c>
      <c r="Q83" s="13">
        <f t="shared" si="11"/>
        <v>0</v>
      </c>
      <c r="V83" s="14">
        <f t="shared" si="7"/>
        <v>0.158203125</v>
      </c>
      <c r="W83" s="10">
        <f t="shared" si="12"/>
        <v>0</v>
      </c>
      <c r="X83" s="11">
        <f t="shared" si="12"/>
        <v>0</v>
      </c>
      <c r="Y83" s="12">
        <f t="shared" si="12"/>
        <v>0</v>
      </c>
      <c r="Z83" s="13">
        <f t="shared" si="12"/>
        <v>0</v>
      </c>
    </row>
    <row r="84" spans="1:26" x14ac:dyDescent="0.25">
      <c r="A84" s="4"/>
      <c r="B84" s="4">
        <v>82</v>
      </c>
      <c r="C84" s="4">
        <f t="array" ref="C84">INDEX(Sheet1!$B$2:$F$22000,SMALL(IF(Sheet1!$A$2:$A$22000=$A$1,ROW(Sheet1!$B$2:$B$22000)),ROW($A82:$F82))-1,2)</f>
        <v>0</v>
      </c>
      <c r="D84" s="4">
        <f t="array" ref="D84">INDEX(Sheet1!$B$2:$F$22000,SMALL(IF(Sheet1!$A$2:$A$22000=$A$1,ROW(Sheet1!$B$2:$B$22000)),ROW($A82:$F82))-1,3)</f>
        <v>0</v>
      </c>
      <c r="E84" s="4">
        <f t="array" ref="E84">INDEX(Sheet1!$B$2:$F$22000,SMALL(IF(Sheet1!$A$2:$A$22000=$A$1,ROW(Sheet1!$B$2:$B$22000)),ROW($A82:$F82))-1,4)</f>
        <v>0</v>
      </c>
      <c r="F84" s="4">
        <f t="array" ref="F84">INDEX(Sheet1!$B$2:$F$22000,SMALL(IF(Sheet1!$A$2:$A$22000=$A$1,ROW(Sheet1!$B$2:$B$22000)),ROW($A82:$F82))-1,5)</f>
        <v>0</v>
      </c>
      <c r="M84" s="9">
        <v>82</v>
      </c>
      <c r="N84" s="10">
        <f t="shared" si="8"/>
        <v>0</v>
      </c>
      <c r="O84" s="11">
        <f t="shared" si="9"/>
        <v>0</v>
      </c>
      <c r="P84" s="12">
        <f t="shared" si="10"/>
        <v>0</v>
      </c>
      <c r="Q84" s="13">
        <f t="shared" si="11"/>
        <v>0</v>
      </c>
      <c r="V84" s="14">
        <f t="shared" si="7"/>
        <v>0.16015625</v>
      </c>
      <c r="W84" s="10">
        <f t="shared" si="12"/>
        <v>0</v>
      </c>
      <c r="X84" s="11">
        <f t="shared" si="12"/>
        <v>0</v>
      </c>
      <c r="Y84" s="12">
        <f t="shared" si="12"/>
        <v>0</v>
      </c>
      <c r="Z84" s="13">
        <f t="shared" si="12"/>
        <v>0</v>
      </c>
    </row>
    <row r="85" spans="1:26" x14ac:dyDescent="0.25">
      <c r="A85" s="4"/>
      <c r="B85" s="4">
        <v>83</v>
      </c>
      <c r="C85" s="4">
        <f t="array" ref="C85">INDEX(Sheet1!$B$2:$F$22000,SMALL(IF(Sheet1!$A$2:$A$22000=$A$1,ROW(Sheet1!$B$2:$B$22000)),ROW($A83:$F83))-1,2)</f>
        <v>0</v>
      </c>
      <c r="D85" s="4">
        <f t="array" ref="D85">INDEX(Sheet1!$B$2:$F$22000,SMALL(IF(Sheet1!$A$2:$A$22000=$A$1,ROW(Sheet1!$B$2:$B$22000)),ROW($A83:$F83))-1,3)</f>
        <v>0</v>
      </c>
      <c r="E85" s="4">
        <f t="array" ref="E85">INDEX(Sheet1!$B$2:$F$22000,SMALL(IF(Sheet1!$A$2:$A$22000=$A$1,ROW(Sheet1!$B$2:$B$22000)),ROW($A83:$F83))-1,4)</f>
        <v>0</v>
      </c>
      <c r="F85" s="4">
        <f t="array" ref="F85">INDEX(Sheet1!$B$2:$F$22000,SMALL(IF(Sheet1!$A$2:$A$22000=$A$1,ROW(Sheet1!$B$2:$B$22000)),ROW($A83:$F83))-1,5)</f>
        <v>0</v>
      </c>
      <c r="M85" s="9">
        <v>83</v>
      </c>
      <c r="N85" s="10">
        <f t="shared" si="8"/>
        <v>0</v>
      </c>
      <c r="O85" s="11">
        <f t="shared" si="9"/>
        <v>0</v>
      </c>
      <c r="P85" s="12">
        <f t="shared" si="10"/>
        <v>0</v>
      </c>
      <c r="Q85" s="13">
        <f t="shared" si="11"/>
        <v>0</v>
      </c>
      <c r="V85" s="14">
        <f t="shared" si="7"/>
        <v>0.162109375</v>
      </c>
      <c r="W85" s="10">
        <f t="shared" si="12"/>
        <v>0</v>
      </c>
      <c r="X85" s="11">
        <f t="shared" si="12"/>
        <v>0</v>
      </c>
      <c r="Y85" s="12">
        <f t="shared" si="12"/>
        <v>0</v>
      </c>
      <c r="Z85" s="13">
        <f t="shared" si="12"/>
        <v>0</v>
      </c>
    </row>
    <row r="86" spans="1:26" x14ac:dyDescent="0.25">
      <c r="A86" s="4"/>
      <c r="B86" s="4">
        <v>84</v>
      </c>
      <c r="C86" s="4">
        <f t="array" ref="C86">INDEX(Sheet1!$B$2:$F$22000,SMALL(IF(Sheet1!$A$2:$A$22000=$A$1,ROW(Sheet1!$B$2:$B$22000)),ROW($A84:$F84))-1,2)</f>
        <v>0</v>
      </c>
      <c r="D86" s="4">
        <f t="array" ref="D86">INDEX(Sheet1!$B$2:$F$22000,SMALL(IF(Sheet1!$A$2:$A$22000=$A$1,ROW(Sheet1!$B$2:$B$22000)),ROW($A84:$F84))-1,3)</f>
        <v>0</v>
      </c>
      <c r="E86" s="4">
        <f t="array" ref="E86">INDEX(Sheet1!$B$2:$F$22000,SMALL(IF(Sheet1!$A$2:$A$22000=$A$1,ROW(Sheet1!$B$2:$B$22000)),ROW($A84:$F84))-1,4)</f>
        <v>0</v>
      </c>
      <c r="F86" s="4">
        <f t="array" ref="F86">INDEX(Sheet1!$B$2:$F$22000,SMALL(IF(Sheet1!$A$2:$A$22000=$A$1,ROW(Sheet1!$B$2:$B$22000)),ROW($A84:$F84))-1,5)</f>
        <v>0</v>
      </c>
      <c r="M86" s="9">
        <v>84</v>
      </c>
      <c r="N86" s="10">
        <f t="shared" si="8"/>
        <v>0</v>
      </c>
      <c r="O86" s="11">
        <f t="shared" si="9"/>
        <v>0</v>
      </c>
      <c r="P86" s="12">
        <f t="shared" si="10"/>
        <v>0</v>
      </c>
      <c r="Q86" s="13">
        <f t="shared" si="11"/>
        <v>0</v>
      </c>
      <c r="V86" s="14">
        <f t="shared" si="7"/>
        <v>0.1640625</v>
      </c>
      <c r="W86" s="10">
        <f t="shared" si="12"/>
        <v>0</v>
      </c>
      <c r="X86" s="11">
        <f t="shared" si="12"/>
        <v>0</v>
      </c>
      <c r="Y86" s="12">
        <f t="shared" si="12"/>
        <v>0</v>
      </c>
      <c r="Z86" s="13">
        <f t="shared" si="12"/>
        <v>0</v>
      </c>
    </row>
    <row r="87" spans="1:26" x14ac:dyDescent="0.25">
      <c r="A87" s="4"/>
      <c r="B87" s="4">
        <v>85</v>
      </c>
      <c r="C87" s="4">
        <f t="array" ref="C87">INDEX(Sheet1!$B$2:$F$22000,SMALL(IF(Sheet1!$A$2:$A$22000=$A$1,ROW(Sheet1!$B$2:$B$22000)),ROW($A85:$F85))-1,2)</f>
        <v>0</v>
      </c>
      <c r="D87" s="4">
        <f t="array" ref="D87">INDEX(Sheet1!$B$2:$F$22000,SMALL(IF(Sheet1!$A$2:$A$22000=$A$1,ROW(Sheet1!$B$2:$B$22000)),ROW($A85:$F85))-1,3)</f>
        <v>0</v>
      </c>
      <c r="E87" s="4">
        <f t="array" ref="E87">INDEX(Sheet1!$B$2:$F$22000,SMALL(IF(Sheet1!$A$2:$A$22000=$A$1,ROW(Sheet1!$B$2:$B$22000)),ROW($A85:$F85))-1,4)</f>
        <v>0</v>
      </c>
      <c r="F87" s="4">
        <f t="array" ref="F87">INDEX(Sheet1!$B$2:$F$22000,SMALL(IF(Sheet1!$A$2:$A$22000=$A$1,ROW(Sheet1!$B$2:$B$22000)),ROW($A85:$F85))-1,5)</f>
        <v>0</v>
      </c>
      <c r="M87" s="9">
        <v>85</v>
      </c>
      <c r="N87" s="10">
        <f t="shared" si="8"/>
        <v>0</v>
      </c>
      <c r="O87" s="11">
        <f t="shared" si="9"/>
        <v>0</v>
      </c>
      <c r="P87" s="12">
        <f t="shared" si="10"/>
        <v>0</v>
      </c>
      <c r="Q87" s="13">
        <f t="shared" si="11"/>
        <v>0</v>
      </c>
      <c r="V87" s="14">
        <f t="shared" si="7"/>
        <v>0.166015625</v>
      </c>
      <c r="W87" s="10">
        <f t="shared" si="12"/>
        <v>0</v>
      </c>
      <c r="X87" s="11">
        <f t="shared" si="12"/>
        <v>0</v>
      </c>
      <c r="Y87" s="12">
        <f t="shared" si="12"/>
        <v>0</v>
      </c>
      <c r="Z87" s="13">
        <f t="shared" si="12"/>
        <v>0</v>
      </c>
    </row>
    <row r="88" spans="1:26" x14ac:dyDescent="0.25">
      <c r="A88" s="4"/>
      <c r="B88" s="4">
        <v>86</v>
      </c>
      <c r="C88" s="4">
        <f t="array" ref="C88">INDEX(Sheet1!$B$2:$F$22000,SMALL(IF(Sheet1!$A$2:$A$22000=$A$1,ROW(Sheet1!$B$2:$B$22000)),ROW($A86:$F86))-1,2)</f>
        <v>0</v>
      </c>
      <c r="D88" s="4">
        <f t="array" ref="D88">INDEX(Sheet1!$B$2:$F$22000,SMALL(IF(Sheet1!$A$2:$A$22000=$A$1,ROW(Sheet1!$B$2:$B$22000)),ROW($A86:$F86))-1,3)</f>
        <v>0</v>
      </c>
      <c r="E88" s="4">
        <f t="array" ref="E88">INDEX(Sheet1!$B$2:$F$22000,SMALL(IF(Sheet1!$A$2:$A$22000=$A$1,ROW(Sheet1!$B$2:$B$22000)),ROW($A86:$F86))-1,4)</f>
        <v>0</v>
      </c>
      <c r="F88" s="4">
        <f t="array" ref="F88">INDEX(Sheet1!$B$2:$F$22000,SMALL(IF(Sheet1!$A$2:$A$22000=$A$1,ROW(Sheet1!$B$2:$B$22000)),ROW($A86:$F86))-1,5)</f>
        <v>0</v>
      </c>
      <c r="M88" s="9">
        <v>86</v>
      </c>
      <c r="N88" s="10">
        <f t="shared" si="8"/>
        <v>0</v>
      </c>
      <c r="O88" s="11">
        <f t="shared" si="9"/>
        <v>0</v>
      </c>
      <c r="P88" s="12">
        <f t="shared" si="10"/>
        <v>0</v>
      </c>
      <c r="Q88" s="13">
        <f t="shared" si="11"/>
        <v>0</v>
      </c>
      <c r="V88" s="14">
        <f t="shared" si="7"/>
        <v>0.16796875</v>
      </c>
      <c r="W88" s="10">
        <f t="shared" si="12"/>
        <v>0</v>
      </c>
      <c r="X88" s="11">
        <f t="shared" si="12"/>
        <v>0</v>
      </c>
      <c r="Y88" s="12">
        <f t="shared" si="12"/>
        <v>0</v>
      </c>
      <c r="Z88" s="13">
        <f t="shared" si="12"/>
        <v>0</v>
      </c>
    </row>
    <row r="89" spans="1:26" x14ac:dyDescent="0.25">
      <c r="A89" s="4"/>
      <c r="B89" s="4">
        <v>87</v>
      </c>
      <c r="C89" s="4">
        <f t="array" ref="C89">INDEX(Sheet1!$B$2:$F$22000,SMALL(IF(Sheet1!$A$2:$A$22000=$A$1,ROW(Sheet1!$B$2:$B$22000)),ROW($A87:$F87))-1,2)</f>
        <v>0</v>
      </c>
      <c r="D89" s="4">
        <f t="array" ref="D89">INDEX(Sheet1!$B$2:$F$22000,SMALL(IF(Sheet1!$A$2:$A$22000=$A$1,ROW(Sheet1!$B$2:$B$22000)),ROW($A87:$F87))-1,3)</f>
        <v>0</v>
      </c>
      <c r="E89" s="4">
        <f t="array" ref="E89">INDEX(Sheet1!$B$2:$F$22000,SMALL(IF(Sheet1!$A$2:$A$22000=$A$1,ROW(Sheet1!$B$2:$B$22000)),ROW($A87:$F87))-1,4)</f>
        <v>0</v>
      </c>
      <c r="F89" s="4">
        <f t="array" ref="F89">INDEX(Sheet1!$B$2:$F$22000,SMALL(IF(Sheet1!$A$2:$A$22000=$A$1,ROW(Sheet1!$B$2:$B$22000)),ROW($A87:$F87))-1,5)</f>
        <v>0</v>
      </c>
      <c r="M89" s="9">
        <v>87</v>
      </c>
      <c r="N89" s="10">
        <f t="shared" si="8"/>
        <v>0</v>
      </c>
      <c r="O89" s="11">
        <f t="shared" si="9"/>
        <v>0</v>
      </c>
      <c r="P89" s="12">
        <f t="shared" si="10"/>
        <v>0</v>
      </c>
      <c r="Q89" s="13">
        <f t="shared" si="11"/>
        <v>0</v>
      </c>
      <c r="V89" s="14">
        <f t="shared" si="7"/>
        <v>0.169921875</v>
      </c>
      <c r="W89" s="10">
        <f t="shared" si="12"/>
        <v>0</v>
      </c>
      <c r="X89" s="11">
        <f t="shared" si="12"/>
        <v>0</v>
      </c>
      <c r="Y89" s="12">
        <f t="shared" si="12"/>
        <v>0</v>
      </c>
      <c r="Z89" s="13">
        <f t="shared" si="12"/>
        <v>0</v>
      </c>
    </row>
    <row r="90" spans="1:26" x14ac:dyDescent="0.25">
      <c r="A90" s="4"/>
      <c r="B90" s="4">
        <v>88</v>
      </c>
      <c r="C90" s="4">
        <f t="array" ref="C90">INDEX(Sheet1!$B$2:$F$22000,SMALL(IF(Sheet1!$A$2:$A$22000=$A$1,ROW(Sheet1!$B$2:$B$22000)),ROW($A88:$F88))-1,2)</f>
        <v>0</v>
      </c>
      <c r="D90" s="4">
        <f t="array" ref="D90">INDEX(Sheet1!$B$2:$F$22000,SMALL(IF(Sheet1!$A$2:$A$22000=$A$1,ROW(Sheet1!$B$2:$B$22000)),ROW($A88:$F88))-1,3)</f>
        <v>0</v>
      </c>
      <c r="E90" s="4">
        <f t="array" ref="E90">INDEX(Sheet1!$B$2:$F$22000,SMALL(IF(Sheet1!$A$2:$A$22000=$A$1,ROW(Sheet1!$B$2:$B$22000)),ROW($A88:$F88))-1,4)</f>
        <v>0</v>
      </c>
      <c r="F90" s="4">
        <f t="array" ref="F90">INDEX(Sheet1!$B$2:$F$22000,SMALL(IF(Sheet1!$A$2:$A$22000=$A$1,ROW(Sheet1!$B$2:$B$22000)),ROW($A88:$F88))-1,5)</f>
        <v>0</v>
      </c>
      <c r="M90" s="9">
        <v>88</v>
      </c>
      <c r="N90" s="10">
        <f t="shared" si="8"/>
        <v>0</v>
      </c>
      <c r="O90" s="11">
        <f t="shared" si="9"/>
        <v>0</v>
      </c>
      <c r="P90" s="12">
        <f t="shared" si="10"/>
        <v>0</v>
      </c>
      <c r="Q90" s="13">
        <f t="shared" si="11"/>
        <v>0</v>
      </c>
      <c r="V90" s="14">
        <f t="shared" si="7"/>
        <v>0.171875</v>
      </c>
      <c r="W90" s="10">
        <f t="shared" si="12"/>
        <v>0</v>
      </c>
      <c r="X90" s="11">
        <f t="shared" si="12"/>
        <v>0</v>
      </c>
      <c r="Y90" s="12">
        <f t="shared" si="12"/>
        <v>0</v>
      </c>
      <c r="Z90" s="13">
        <f t="shared" si="12"/>
        <v>0</v>
      </c>
    </row>
    <row r="91" spans="1:26" x14ac:dyDescent="0.25">
      <c r="A91" s="4"/>
      <c r="B91" s="4">
        <v>89</v>
      </c>
      <c r="C91" s="4">
        <f t="array" ref="C91">INDEX(Sheet1!$B$2:$F$22000,SMALL(IF(Sheet1!$A$2:$A$22000=$A$1,ROW(Sheet1!$B$2:$B$22000)),ROW($A89:$F89))-1,2)</f>
        <v>0</v>
      </c>
      <c r="D91" s="4">
        <f t="array" ref="D91">INDEX(Sheet1!$B$2:$F$22000,SMALL(IF(Sheet1!$A$2:$A$22000=$A$1,ROW(Sheet1!$B$2:$B$22000)),ROW($A89:$F89))-1,3)</f>
        <v>0</v>
      </c>
      <c r="E91" s="4">
        <f t="array" ref="E91">INDEX(Sheet1!$B$2:$F$22000,SMALL(IF(Sheet1!$A$2:$A$22000=$A$1,ROW(Sheet1!$B$2:$B$22000)),ROW($A89:$F89))-1,4)</f>
        <v>0</v>
      </c>
      <c r="F91" s="4">
        <f t="array" ref="F91">INDEX(Sheet1!$B$2:$F$22000,SMALL(IF(Sheet1!$A$2:$A$22000=$A$1,ROW(Sheet1!$B$2:$B$22000)),ROW($A89:$F89))-1,5)</f>
        <v>0</v>
      </c>
      <c r="M91" s="9">
        <v>89</v>
      </c>
      <c r="N91" s="10">
        <f t="shared" si="8"/>
        <v>0</v>
      </c>
      <c r="O91" s="11">
        <f t="shared" si="9"/>
        <v>0</v>
      </c>
      <c r="P91" s="12">
        <f t="shared" si="10"/>
        <v>0</v>
      </c>
      <c r="Q91" s="13">
        <f t="shared" si="11"/>
        <v>0</v>
      </c>
      <c r="V91" s="14">
        <f t="shared" si="7"/>
        <v>0.173828125</v>
      </c>
      <c r="W91" s="10">
        <f t="shared" si="12"/>
        <v>0</v>
      </c>
      <c r="X91" s="11">
        <f t="shared" si="12"/>
        <v>0</v>
      </c>
      <c r="Y91" s="12">
        <f t="shared" si="12"/>
        <v>0</v>
      </c>
      <c r="Z91" s="13">
        <f t="shared" si="12"/>
        <v>0</v>
      </c>
    </row>
    <row r="92" spans="1:26" x14ac:dyDescent="0.25">
      <c r="A92" s="4"/>
      <c r="B92" s="4">
        <v>90</v>
      </c>
      <c r="C92" s="4">
        <f t="array" ref="C92">INDEX(Sheet1!$B$2:$F$22000,SMALL(IF(Sheet1!$A$2:$A$22000=$A$1,ROW(Sheet1!$B$2:$B$22000)),ROW($A90:$F90))-1,2)</f>
        <v>0</v>
      </c>
      <c r="D92" s="4">
        <f t="array" ref="D92">INDEX(Sheet1!$B$2:$F$22000,SMALL(IF(Sheet1!$A$2:$A$22000=$A$1,ROW(Sheet1!$B$2:$B$22000)),ROW($A90:$F90))-1,3)</f>
        <v>0</v>
      </c>
      <c r="E92" s="4">
        <f t="array" ref="E92">INDEX(Sheet1!$B$2:$F$22000,SMALL(IF(Sheet1!$A$2:$A$22000=$A$1,ROW(Sheet1!$B$2:$B$22000)),ROW($A90:$F90))-1,4)</f>
        <v>0</v>
      </c>
      <c r="F92" s="4">
        <f t="array" ref="F92">INDEX(Sheet1!$B$2:$F$22000,SMALL(IF(Sheet1!$A$2:$A$22000=$A$1,ROW(Sheet1!$B$2:$B$22000)),ROW($A90:$F90))-1,5)</f>
        <v>0</v>
      </c>
      <c r="M92" s="9">
        <v>90</v>
      </c>
      <c r="N92" s="10">
        <f t="shared" si="8"/>
        <v>0</v>
      </c>
      <c r="O92" s="11">
        <f t="shared" si="9"/>
        <v>0</v>
      </c>
      <c r="P92" s="12">
        <f t="shared" si="10"/>
        <v>0</v>
      </c>
      <c r="Q92" s="13">
        <f t="shared" si="11"/>
        <v>0</v>
      </c>
      <c r="V92" s="14">
        <f t="shared" si="7"/>
        <v>0.17578125</v>
      </c>
      <c r="W92" s="10">
        <f t="shared" si="12"/>
        <v>0</v>
      </c>
      <c r="X92" s="11">
        <f t="shared" si="12"/>
        <v>0</v>
      </c>
      <c r="Y92" s="12">
        <f t="shared" si="12"/>
        <v>0</v>
      </c>
      <c r="Z92" s="13">
        <f t="shared" si="12"/>
        <v>0</v>
      </c>
    </row>
    <row r="93" spans="1:26" x14ac:dyDescent="0.25">
      <c r="A93" s="4"/>
      <c r="B93" s="4">
        <v>91</v>
      </c>
      <c r="C93" s="4">
        <f t="array" ref="C93">INDEX(Sheet1!$B$2:$F$22000,SMALL(IF(Sheet1!$A$2:$A$22000=$A$1,ROW(Sheet1!$B$2:$B$22000)),ROW($A91:$F91))-1,2)</f>
        <v>0</v>
      </c>
      <c r="D93" s="4">
        <f t="array" ref="D93">INDEX(Sheet1!$B$2:$F$22000,SMALL(IF(Sheet1!$A$2:$A$22000=$A$1,ROW(Sheet1!$B$2:$B$22000)),ROW($A91:$F91))-1,3)</f>
        <v>0</v>
      </c>
      <c r="E93" s="4">
        <f t="array" ref="E93">INDEX(Sheet1!$B$2:$F$22000,SMALL(IF(Sheet1!$A$2:$A$22000=$A$1,ROW(Sheet1!$B$2:$B$22000)),ROW($A91:$F91))-1,4)</f>
        <v>0</v>
      </c>
      <c r="F93" s="4">
        <f t="array" ref="F93">INDEX(Sheet1!$B$2:$F$22000,SMALL(IF(Sheet1!$A$2:$A$22000=$A$1,ROW(Sheet1!$B$2:$B$22000)),ROW($A91:$F91))-1,5)</f>
        <v>0</v>
      </c>
      <c r="M93" s="9">
        <v>91</v>
      </c>
      <c r="N93" s="10">
        <f t="shared" si="8"/>
        <v>0</v>
      </c>
      <c r="O93" s="11">
        <f t="shared" si="9"/>
        <v>0</v>
      </c>
      <c r="P93" s="12">
        <f t="shared" si="10"/>
        <v>0</v>
      </c>
      <c r="Q93" s="13">
        <f t="shared" si="11"/>
        <v>0</v>
      </c>
      <c r="V93" s="14">
        <f t="shared" si="7"/>
        <v>0.177734375</v>
      </c>
      <c r="W93" s="10">
        <f t="shared" si="12"/>
        <v>0</v>
      </c>
      <c r="X93" s="11">
        <f t="shared" si="12"/>
        <v>0</v>
      </c>
      <c r="Y93" s="12">
        <f t="shared" si="12"/>
        <v>0</v>
      </c>
      <c r="Z93" s="13">
        <f t="shared" si="12"/>
        <v>0</v>
      </c>
    </row>
    <row r="94" spans="1:26" x14ac:dyDescent="0.25">
      <c r="A94" s="4"/>
      <c r="B94" s="4">
        <v>92</v>
      </c>
      <c r="C94" s="4">
        <f t="array" ref="C94">INDEX(Sheet1!$B$2:$F$22000,SMALL(IF(Sheet1!$A$2:$A$22000=$A$1,ROW(Sheet1!$B$2:$B$22000)),ROW($A92:$F92))-1,2)</f>
        <v>0</v>
      </c>
      <c r="D94" s="4">
        <f t="array" ref="D94">INDEX(Sheet1!$B$2:$F$22000,SMALL(IF(Sheet1!$A$2:$A$22000=$A$1,ROW(Sheet1!$B$2:$B$22000)),ROW($A92:$F92))-1,3)</f>
        <v>0</v>
      </c>
      <c r="E94" s="4">
        <f t="array" ref="E94">INDEX(Sheet1!$B$2:$F$22000,SMALL(IF(Sheet1!$A$2:$A$22000=$A$1,ROW(Sheet1!$B$2:$B$22000)),ROW($A92:$F92))-1,4)</f>
        <v>0</v>
      </c>
      <c r="F94" s="4">
        <f t="array" ref="F94">INDEX(Sheet1!$B$2:$F$22000,SMALL(IF(Sheet1!$A$2:$A$22000=$A$1,ROW(Sheet1!$B$2:$B$22000)),ROW($A92:$F92))-1,5)</f>
        <v>0</v>
      </c>
      <c r="M94" s="9">
        <v>92</v>
      </c>
      <c r="N94" s="10">
        <f t="shared" si="8"/>
        <v>0</v>
      </c>
      <c r="O94" s="11">
        <f t="shared" si="9"/>
        <v>0</v>
      </c>
      <c r="P94" s="12">
        <f t="shared" si="10"/>
        <v>0</v>
      </c>
      <c r="Q94" s="13">
        <f t="shared" si="11"/>
        <v>0</v>
      </c>
      <c r="V94" s="14">
        <f t="shared" si="7"/>
        <v>0.1796875</v>
      </c>
      <c r="W94" s="10">
        <f t="shared" si="12"/>
        <v>0</v>
      </c>
      <c r="X94" s="11">
        <f t="shared" si="12"/>
        <v>0</v>
      </c>
      <c r="Y94" s="12">
        <f t="shared" si="12"/>
        <v>0</v>
      </c>
      <c r="Z94" s="13">
        <f t="shared" si="12"/>
        <v>0</v>
      </c>
    </row>
    <row r="95" spans="1:26" x14ac:dyDescent="0.25">
      <c r="A95" s="4"/>
      <c r="B95" s="4">
        <v>93</v>
      </c>
      <c r="C95" s="4">
        <f t="array" ref="C95">INDEX(Sheet1!$B$2:$F$22000,SMALL(IF(Sheet1!$A$2:$A$22000=$A$1,ROW(Sheet1!$B$2:$B$22000)),ROW($A93:$F93))-1,2)</f>
        <v>0</v>
      </c>
      <c r="D95" s="4">
        <f t="array" ref="D95">INDEX(Sheet1!$B$2:$F$22000,SMALL(IF(Sheet1!$A$2:$A$22000=$A$1,ROW(Sheet1!$B$2:$B$22000)),ROW($A93:$F93))-1,3)</f>
        <v>0</v>
      </c>
      <c r="E95" s="4">
        <f t="array" ref="E95">INDEX(Sheet1!$B$2:$F$22000,SMALL(IF(Sheet1!$A$2:$A$22000=$A$1,ROW(Sheet1!$B$2:$B$22000)),ROW($A93:$F93))-1,4)</f>
        <v>0</v>
      </c>
      <c r="F95" s="4">
        <f t="array" ref="F95">INDEX(Sheet1!$B$2:$F$22000,SMALL(IF(Sheet1!$A$2:$A$22000=$A$1,ROW(Sheet1!$B$2:$B$22000)),ROW($A93:$F93))-1,5)</f>
        <v>0</v>
      </c>
      <c r="M95" s="9">
        <v>93</v>
      </c>
      <c r="N95" s="10">
        <f t="shared" si="8"/>
        <v>0</v>
      </c>
      <c r="O95" s="11">
        <f t="shared" si="9"/>
        <v>0</v>
      </c>
      <c r="P95" s="12">
        <f t="shared" si="10"/>
        <v>0</v>
      </c>
      <c r="Q95" s="13">
        <f t="shared" si="11"/>
        <v>0</v>
      </c>
      <c r="V95" s="14">
        <f t="shared" si="7"/>
        <v>0.181640625</v>
      </c>
      <c r="W95" s="10">
        <f t="shared" si="12"/>
        <v>0</v>
      </c>
      <c r="X95" s="11">
        <f t="shared" si="12"/>
        <v>0</v>
      </c>
      <c r="Y95" s="12">
        <f t="shared" si="12"/>
        <v>0</v>
      </c>
      <c r="Z95" s="13">
        <f t="shared" si="12"/>
        <v>0</v>
      </c>
    </row>
    <row r="96" spans="1:26" x14ac:dyDescent="0.25">
      <c r="A96" s="4"/>
      <c r="B96" s="4">
        <v>94</v>
      </c>
      <c r="C96" s="4">
        <f t="array" ref="C96">INDEX(Sheet1!$B$2:$F$22000,SMALL(IF(Sheet1!$A$2:$A$22000=$A$1,ROW(Sheet1!$B$2:$B$22000)),ROW($A94:$F94))-1,2)</f>
        <v>0</v>
      </c>
      <c r="D96" s="4">
        <f t="array" ref="D96">INDEX(Sheet1!$B$2:$F$22000,SMALL(IF(Sheet1!$A$2:$A$22000=$A$1,ROW(Sheet1!$B$2:$B$22000)),ROW($A94:$F94))-1,3)</f>
        <v>0</v>
      </c>
      <c r="E96" s="4">
        <f t="array" ref="E96">INDEX(Sheet1!$B$2:$F$22000,SMALL(IF(Sheet1!$A$2:$A$22000=$A$1,ROW(Sheet1!$B$2:$B$22000)),ROW($A94:$F94))-1,4)</f>
        <v>0</v>
      </c>
      <c r="F96" s="4">
        <f t="array" ref="F96">INDEX(Sheet1!$B$2:$F$22000,SMALL(IF(Sheet1!$A$2:$A$22000=$A$1,ROW(Sheet1!$B$2:$B$22000)),ROW($A94:$F94))-1,5)</f>
        <v>0</v>
      </c>
      <c r="M96" s="9">
        <v>94</v>
      </c>
      <c r="N96" s="10">
        <f t="shared" si="8"/>
        <v>0</v>
      </c>
      <c r="O96" s="11">
        <f t="shared" si="9"/>
        <v>0</v>
      </c>
      <c r="P96" s="12">
        <f t="shared" si="10"/>
        <v>0</v>
      </c>
      <c r="Q96" s="13">
        <f t="shared" si="11"/>
        <v>0</v>
      </c>
      <c r="V96" s="14">
        <f t="shared" si="7"/>
        <v>0.18359375</v>
      </c>
      <c r="W96" s="10">
        <f t="shared" si="12"/>
        <v>0</v>
      </c>
      <c r="X96" s="11">
        <f t="shared" si="12"/>
        <v>0</v>
      </c>
      <c r="Y96" s="12">
        <f t="shared" si="12"/>
        <v>0</v>
      </c>
      <c r="Z96" s="13">
        <f t="shared" si="12"/>
        <v>0</v>
      </c>
    </row>
    <row r="97" spans="1:26" x14ac:dyDescent="0.25">
      <c r="A97" s="4"/>
      <c r="B97" s="4">
        <v>95</v>
      </c>
      <c r="C97" s="4">
        <f t="array" ref="C97">INDEX(Sheet1!$B$2:$F$22000,SMALL(IF(Sheet1!$A$2:$A$22000=$A$1,ROW(Sheet1!$B$2:$B$22000)),ROW($A95:$F95))-1,2)</f>
        <v>0</v>
      </c>
      <c r="D97" s="4">
        <f t="array" ref="D97">INDEX(Sheet1!$B$2:$F$22000,SMALL(IF(Sheet1!$A$2:$A$22000=$A$1,ROW(Sheet1!$B$2:$B$22000)),ROW($A95:$F95))-1,3)</f>
        <v>0</v>
      </c>
      <c r="E97" s="4">
        <f t="array" ref="E97">INDEX(Sheet1!$B$2:$F$22000,SMALL(IF(Sheet1!$A$2:$A$22000=$A$1,ROW(Sheet1!$B$2:$B$22000)),ROW($A95:$F95))-1,4)</f>
        <v>0</v>
      </c>
      <c r="F97" s="4">
        <f t="array" ref="F97">INDEX(Sheet1!$B$2:$F$22000,SMALL(IF(Sheet1!$A$2:$A$22000=$A$1,ROW(Sheet1!$B$2:$B$22000)),ROW($A95:$F95))-1,5)</f>
        <v>0</v>
      </c>
      <c r="M97" s="9">
        <v>95</v>
      </c>
      <c r="N97" s="10">
        <f t="shared" si="8"/>
        <v>0</v>
      </c>
      <c r="O97" s="11">
        <f t="shared" si="9"/>
        <v>0</v>
      </c>
      <c r="P97" s="12">
        <f t="shared" si="10"/>
        <v>0</v>
      </c>
      <c r="Q97" s="13">
        <f t="shared" si="11"/>
        <v>0</v>
      </c>
      <c r="V97" s="14">
        <f t="shared" si="7"/>
        <v>0.185546875</v>
      </c>
      <c r="W97" s="10">
        <f t="shared" si="12"/>
        <v>0</v>
      </c>
      <c r="X97" s="11">
        <f t="shared" si="12"/>
        <v>0</v>
      </c>
      <c r="Y97" s="12">
        <f t="shared" si="12"/>
        <v>0</v>
      </c>
      <c r="Z97" s="13">
        <f t="shared" si="12"/>
        <v>0</v>
      </c>
    </row>
    <row r="98" spans="1:26" x14ac:dyDescent="0.25">
      <c r="A98" s="4"/>
      <c r="B98" s="4">
        <v>96</v>
      </c>
      <c r="C98" s="4">
        <f t="array" ref="C98">INDEX(Sheet1!$B$2:$F$22000,SMALL(IF(Sheet1!$A$2:$A$22000=$A$1,ROW(Sheet1!$B$2:$B$22000)),ROW($A96:$F96))-1,2)</f>
        <v>0</v>
      </c>
      <c r="D98" s="4">
        <f t="array" ref="D98">INDEX(Sheet1!$B$2:$F$22000,SMALL(IF(Sheet1!$A$2:$A$22000=$A$1,ROW(Sheet1!$B$2:$B$22000)),ROW($A96:$F96))-1,3)</f>
        <v>0</v>
      </c>
      <c r="E98" s="4">
        <f t="array" ref="E98">INDEX(Sheet1!$B$2:$F$22000,SMALL(IF(Sheet1!$A$2:$A$22000=$A$1,ROW(Sheet1!$B$2:$B$22000)),ROW($A96:$F96))-1,4)</f>
        <v>0</v>
      </c>
      <c r="F98" s="4">
        <f t="array" ref="F98">INDEX(Sheet1!$B$2:$F$22000,SMALL(IF(Sheet1!$A$2:$A$22000=$A$1,ROW(Sheet1!$B$2:$B$22000)),ROW($A96:$F96))-1,5)</f>
        <v>0</v>
      </c>
      <c r="M98" s="9">
        <v>96</v>
      </c>
      <c r="N98" s="10">
        <f t="shared" si="8"/>
        <v>0</v>
      </c>
      <c r="O98" s="11">
        <f t="shared" si="9"/>
        <v>0</v>
      </c>
      <c r="P98" s="12">
        <f t="shared" si="10"/>
        <v>0</v>
      </c>
      <c r="Q98" s="13">
        <f t="shared" si="11"/>
        <v>0</v>
      </c>
      <c r="V98" s="14">
        <f t="shared" si="7"/>
        <v>0.1875</v>
      </c>
      <c r="W98" s="10">
        <f t="shared" si="12"/>
        <v>0</v>
      </c>
      <c r="X98" s="11">
        <f t="shared" si="12"/>
        <v>0</v>
      </c>
      <c r="Y98" s="12">
        <f t="shared" si="12"/>
        <v>0</v>
      </c>
      <c r="Z98" s="13">
        <f t="shared" si="12"/>
        <v>0</v>
      </c>
    </row>
    <row r="99" spans="1:26" x14ac:dyDescent="0.25">
      <c r="A99" s="4"/>
      <c r="B99" s="4">
        <v>97</v>
      </c>
      <c r="C99" s="4">
        <f t="array" ref="C99">INDEX(Sheet1!$B$2:$F$22000,SMALL(IF(Sheet1!$A$2:$A$22000=$A$1,ROW(Sheet1!$B$2:$B$22000)),ROW($A97:$F97))-1,2)</f>
        <v>0</v>
      </c>
      <c r="D99" s="4">
        <f t="array" ref="D99">INDEX(Sheet1!$B$2:$F$22000,SMALL(IF(Sheet1!$A$2:$A$22000=$A$1,ROW(Sheet1!$B$2:$B$22000)),ROW($A97:$F97))-1,3)</f>
        <v>0</v>
      </c>
      <c r="E99" s="4">
        <f t="array" ref="E99">INDEX(Sheet1!$B$2:$F$22000,SMALL(IF(Sheet1!$A$2:$A$22000=$A$1,ROW(Sheet1!$B$2:$B$22000)),ROW($A97:$F97))-1,4)</f>
        <v>0</v>
      </c>
      <c r="F99" s="4">
        <f t="array" ref="F99">INDEX(Sheet1!$B$2:$F$22000,SMALL(IF(Sheet1!$A$2:$A$22000=$A$1,ROW(Sheet1!$B$2:$B$22000)),ROW($A97:$F97))-1,5)</f>
        <v>0</v>
      </c>
      <c r="M99" s="9">
        <v>97</v>
      </c>
      <c r="N99" s="10">
        <f t="shared" si="8"/>
        <v>0</v>
      </c>
      <c r="O99" s="11">
        <f t="shared" si="9"/>
        <v>0</v>
      </c>
      <c r="P99" s="12">
        <f t="shared" si="10"/>
        <v>0</v>
      </c>
      <c r="Q99" s="13">
        <f t="shared" si="11"/>
        <v>0</v>
      </c>
      <c r="V99" s="14">
        <f t="shared" si="7"/>
        <v>0.189453125</v>
      </c>
      <c r="W99" s="10">
        <f t="shared" si="12"/>
        <v>0</v>
      </c>
      <c r="X99" s="11">
        <f t="shared" si="12"/>
        <v>0</v>
      </c>
      <c r="Y99" s="12">
        <f t="shared" si="12"/>
        <v>0</v>
      </c>
      <c r="Z99" s="13">
        <f t="shared" si="12"/>
        <v>0</v>
      </c>
    </row>
    <row r="100" spans="1:26" x14ac:dyDescent="0.25">
      <c r="B100" s="4">
        <v>98</v>
      </c>
      <c r="C100" s="4">
        <f t="array" ref="C100">INDEX(Sheet1!$B$2:$F$22000,SMALL(IF(Sheet1!$A$2:$A$22000=$A$1,ROW(Sheet1!$B$2:$B$22000)),ROW($A98:$F98))-1,2)</f>
        <v>0</v>
      </c>
      <c r="D100" s="4">
        <f t="array" ref="D100">INDEX(Sheet1!$B$2:$F$22000,SMALL(IF(Sheet1!$A$2:$A$22000=$A$1,ROW(Sheet1!$B$2:$B$22000)),ROW($A98:$F98))-1,3)</f>
        <v>0</v>
      </c>
      <c r="E100" s="4">
        <f t="array" ref="E100">INDEX(Sheet1!$B$2:$F$22000,SMALL(IF(Sheet1!$A$2:$A$22000=$A$1,ROW(Sheet1!$B$2:$B$22000)),ROW($A98:$F98))-1,4)</f>
        <v>0</v>
      </c>
      <c r="F100" s="4">
        <f t="array" ref="F100">INDEX(Sheet1!$B$2:$F$22000,SMALL(IF(Sheet1!$A$2:$A$22000=$A$1,ROW(Sheet1!$B$2:$B$22000)),ROW($A98:$F98))-1,5)</f>
        <v>0</v>
      </c>
      <c r="M100" s="9">
        <v>98</v>
      </c>
      <c r="N100" s="10">
        <f t="shared" si="8"/>
        <v>0</v>
      </c>
      <c r="O100" s="11">
        <f t="shared" si="9"/>
        <v>0</v>
      </c>
      <c r="P100" s="12">
        <f t="shared" si="10"/>
        <v>0</v>
      </c>
      <c r="Q100" s="13">
        <f t="shared" si="11"/>
        <v>0</v>
      </c>
      <c r="V100" s="14">
        <f t="shared" si="7"/>
        <v>0.19140625</v>
      </c>
      <c r="W100" s="10">
        <f t="shared" si="12"/>
        <v>0</v>
      </c>
      <c r="X100" s="11">
        <f t="shared" si="12"/>
        <v>0</v>
      </c>
      <c r="Y100" s="12">
        <f t="shared" si="12"/>
        <v>0</v>
      </c>
      <c r="Z100" s="13">
        <f t="shared" si="12"/>
        <v>0</v>
      </c>
    </row>
    <row r="101" spans="1:26" x14ac:dyDescent="0.25">
      <c r="B101" s="4">
        <v>99</v>
      </c>
      <c r="C101" s="4">
        <f t="array" ref="C101">INDEX(Sheet1!$B$2:$F$22000,SMALL(IF(Sheet1!$A$2:$A$22000=$A$1,ROW(Sheet1!$B$2:$B$22000)),ROW($A99:$F99))-1,2)</f>
        <v>0</v>
      </c>
      <c r="D101" s="4">
        <f t="array" ref="D101">INDEX(Sheet1!$B$2:$F$22000,SMALL(IF(Sheet1!$A$2:$A$22000=$A$1,ROW(Sheet1!$B$2:$B$22000)),ROW($A99:$F99))-1,3)</f>
        <v>0</v>
      </c>
      <c r="E101" s="4">
        <f t="array" ref="E101">INDEX(Sheet1!$B$2:$F$22000,SMALL(IF(Sheet1!$A$2:$A$22000=$A$1,ROW(Sheet1!$B$2:$B$22000)),ROW($A99:$F99))-1,4)</f>
        <v>0</v>
      </c>
      <c r="F101" s="4">
        <f t="array" ref="F101">INDEX(Sheet1!$B$2:$F$22000,SMALL(IF(Sheet1!$A$2:$A$22000=$A$1,ROW(Sheet1!$B$2:$B$22000)),ROW($A99:$F99))-1,5)</f>
        <v>0</v>
      </c>
      <c r="M101" s="9">
        <v>99</v>
      </c>
      <c r="N101" s="10">
        <f t="shared" si="8"/>
        <v>0</v>
      </c>
      <c r="O101" s="11">
        <f t="shared" si="9"/>
        <v>0</v>
      </c>
      <c r="P101" s="12">
        <f t="shared" si="10"/>
        <v>0</v>
      </c>
      <c r="Q101" s="13">
        <f t="shared" si="11"/>
        <v>0</v>
      </c>
      <c r="V101" s="14">
        <f t="shared" si="7"/>
        <v>0.193359375</v>
      </c>
      <c r="W101" s="10">
        <f t="shared" si="12"/>
        <v>0</v>
      </c>
      <c r="X101" s="11">
        <f t="shared" si="12"/>
        <v>0</v>
      </c>
      <c r="Y101" s="12">
        <f t="shared" si="12"/>
        <v>0</v>
      </c>
      <c r="Z101" s="13">
        <f t="shared" si="12"/>
        <v>0</v>
      </c>
    </row>
    <row r="102" spans="1:26" x14ac:dyDescent="0.25">
      <c r="B102" s="4">
        <v>100</v>
      </c>
      <c r="C102" s="4">
        <f t="array" ref="C102">INDEX(Sheet1!$B$2:$F$22000,SMALL(IF(Sheet1!$A$2:$A$22000=$A$1,ROW(Sheet1!$B$2:$B$22000)),ROW($A100:$F100))-1,2)</f>
        <v>0</v>
      </c>
      <c r="D102" s="4">
        <f t="array" ref="D102">INDEX(Sheet1!$B$2:$F$22000,SMALL(IF(Sheet1!$A$2:$A$22000=$A$1,ROW(Sheet1!$B$2:$B$22000)),ROW($A100:$F100))-1,3)</f>
        <v>0</v>
      </c>
      <c r="E102" s="4">
        <f t="array" ref="E102">INDEX(Sheet1!$B$2:$F$22000,SMALL(IF(Sheet1!$A$2:$A$22000=$A$1,ROW(Sheet1!$B$2:$B$22000)),ROW($A100:$F100))-1,4)</f>
        <v>0</v>
      </c>
      <c r="F102" s="4">
        <f t="array" ref="F102">INDEX(Sheet1!$B$2:$F$22000,SMALL(IF(Sheet1!$A$2:$A$22000=$A$1,ROW(Sheet1!$B$2:$B$22000)),ROW($A100:$F100))-1,5)</f>
        <v>0</v>
      </c>
      <c r="M102" s="9">
        <v>100</v>
      </c>
      <c r="N102" s="10">
        <f t="shared" si="8"/>
        <v>0</v>
      </c>
      <c r="O102" s="11">
        <f t="shared" si="9"/>
        <v>0</v>
      </c>
      <c r="P102" s="12">
        <f t="shared" si="10"/>
        <v>0</v>
      </c>
      <c r="Q102" s="13">
        <f t="shared" si="11"/>
        <v>0</v>
      </c>
      <c r="V102" s="14">
        <f t="shared" si="7"/>
        <v>0.1953125</v>
      </c>
      <c r="W102" s="10">
        <f t="shared" si="12"/>
        <v>0</v>
      </c>
      <c r="X102" s="11">
        <f t="shared" si="12"/>
        <v>0</v>
      </c>
      <c r="Y102" s="12">
        <f t="shared" si="12"/>
        <v>0</v>
      </c>
      <c r="Z102" s="13">
        <f t="shared" si="12"/>
        <v>0</v>
      </c>
    </row>
    <row r="103" spans="1:26" x14ac:dyDescent="0.25">
      <c r="B103" s="4">
        <v>101</v>
      </c>
      <c r="C103" s="4">
        <f t="array" ref="C103">INDEX(Sheet1!$B$2:$F$22000,SMALL(IF(Sheet1!$A$2:$A$22000=$A$1,ROW(Sheet1!$B$2:$B$22000)),ROW($A101:$F101))-1,2)</f>
        <v>0</v>
      </c>
      <c r="D103" s="4">
        <f t="array" ref="D103">INDEX(Sheet1!$B$2:$F$22000,SMALL(IF(Sheet1!$A$2:$A$22000=$A$1,ROW(Sheet1!$B$2:$B$22000)),ROW($A101:$F101))-1,3)</f>
        <v>0</v>
      </c>
      <c r="E103" s="4">
        <f t="array" ref="E103">INDEX(Sheet1!$B$2:$F$22000,SMALL(IF(Sheet1!$A$2:$A$22000=$A$1,ROW(Sheet1!$B$2:$B$22000)),ROW($A101:$F101))-1,4)</f>
        <v>0</v>
      </c>
      <c r="F103" s="4">
        <f t="array" ref="F103">INDEX(Sheet1!$B$2:$F$22000,SMALL(IF(Sheet1!$A$2:$A$22000=$A$1,ROW(Sheet1!$B$2:$B$22000)),ROW($A101:$F101))-1,5)</f>
        <v>0</v>
      </c>
      <c r="M103" s="9">
        <v>101</v>
      </c>
      <c r="N103" s="10">
        <f t="shared" si="8"/>
        <v>0</v>
      </c>
      <c r="O103" s="11">
        <f t="shared" si="9"/>
        <v>0</v>
      </c>
      <c r="P103" s="12">
        <f t="shared" si="10"/>
        <v>0</v>
      </c>
      <c r="Q103" s="13">
        <f t="shared" si="11"/>
        <v>0</v>
      </c>
      <c r="V103" s="14">
        <f t="shared" si="7"/>
        <v>0.197265625</v>
      </c>
      <c r="W103" s="10">
        <f t="shared" si="12"/>
        <v>0</v>
      </c>
      <c r="X103" s="11">
        <f t="shared" si="12"/>
        <v>0</v>
      </c>
      <c r="Y103" s="12">
        <f t="shared" si="12"/>
        <v>0</v>
      </c>
      <c r="Z103" s="13">
        <f t="shared" si="12"/>
        <v>0</v>
      </c>
    </row>
    <row r="104" spans="1:26" x14ac:dyDescent="0.25">
      <c r="B104" s="4">
        <v>102</v>
      </c>
      <c r="C104" s="4">
        <f t="array" ref="C104">INDEX(Sheet1!$B$2:$F$22000,SMALL(IF(Sheet1!$A$2:$A$22000=$A$1,ROW(Sheet1!$B$2:$B$22000)),ROW($A102:$F102))-1,2)</f>
        <v>0</v>
      </c>
      <c r="D104" s="4">
        <f t="array" ref="D104">INDEX(Sheet1!$B$2:$F$22000,SMALL(IF(Sheet1!$A$2:$A$22000=$A$1,ROW(Sheet1!$B$2:$B$22000)),ROW($A102:$F102))-1,3)</f>
        <v>0</v>
      </c>
      <c r="E104" s="4">
        <f t="array" ref="E104">INDEX(Sheet1!$B$2:$F$22000,SMALL(IF(Sheet1!$A$2:$A$22000=$A$1,ROW(Sheet1!$B$2:$B$22000)),ROW($A102:$F102))-1,4)</f>
        <v>0</v>
      </c>
      <c r="F104" s="4">
        <f t="array" ref="F104">INDEX(Sheet1!$B$2:$F$22000,SMALL(IF(Sheet1!$A$2:$A$22000=$A$1,ROW(Sheet1!$B$2:$B$22000)),ROW($A102:$F102))-1,5)</f>
        <v>0</v>
      </c>
      <c r="M104" s="9">
        <v>102</v>
      </c>
      <c r="N104" s="10">
        <f t="shared" si="8"/>
        <v>0</v>
      </c>
      <c r="O104" s="11">
        <f t="shared" si="9"/>
        <v>0</v>
      </c>
      <c r="P104" s="12">
        <f t="shared" si="10"/>
        <v>0</v>
      </c>
      <c r="Q104" s="13">
        <f t="shared" si="11"/>
        <v>0</v>
      </c>
      <c r="V104" s="14">
        <f t="shared" si="7"/>
        <v>0.19921875</v>
      </c>
      <c r="W104" s="10">
        <f t="shared" si="12"/>
        <v>0</v>
      </c>
      <c r="X104" s="11">
        <f t="shared" si="12"/>
        <v>0</v>
      </c>
      <c r="Y104" s="12">
        <f t="shared" si="12"/>
        <v>0</v>
      </c>
      <c r="Z104" s="13">
        <f t="shared" si="12"/>
        <v>0</v>
      </c>
    </row>
    <row r="105" spans="1:26" x14ac:dyDescent="0.25">
      <c r="B105" s="4">
        <v>103</v>
      </c>
      <c r="C105" s="4">
        <f t="array" ref="C105">INDEX(Sheet1!$B$2:$F$22000,SMALL(IF(Sheet1!$A$2:$A$22000=$A$1,ROW(Sheet1!$B$2:$B$22000)),ROW($A103:$F103))-1,2)</f>
        <v>0</v>
      </c>
      <c r="D105" s="4">
        <f t="array" ref="D105">INDEX(Sheet1!$B$2:$F$22000,SMALL(IF(Sheet1!$A$2:$A$22000=$A$1,ROW(Sheet1!$B$2:$B$22000)),ROW($A103:$F103))-1,3)</f>
        <v>0</v>
      </c>
      <c r="E105" s="4">
        <f t="array" ref="E105">INDEX(Sheet1!$B$2:$F$22000,SMALL(IF(Sheet1!$A$2:$A$22000=$A$1,ROW(Sheet1!$B$2:$B$22000)),ROW($A103:$F103))-1,4)</f>
        <v>0</v>
      </c>
      <c r="F105" s="4">
        <f t="array" ref="F105">INDEX(Sheet1!$B$2:$F$22000,SMALL(IF(Sheet1!$A$2:$A$22000=$A$1,ROW(Sheet1!$B$2:$B$22000)),ROW($A103:$F103))-1,5)</f>
        <v>0</v>
      </c>
      <c r="M105" s="9">
        <v>103</v>
      </c>
      <c r="N105" s="10">
        <f t="shared" si="8"/>
        <v>0</v>
      </c>
      <c r="O105" s="11">
        <f t="shared" si="9"/>
        <v>0</v>
      </c>
      <c r="P105" s="12">
        <f t="shared" si="10"/>
        <v>0</v>
      </c>
      <c r="Q105" s="13">
        <f t="shared" si="11"/>
        <v>0</v>
      </c>
      <c r="V105" s="14">
        <f t="shared" si="7"/>
        <v>0.201171875</v>
      </c>
      <c r="W105" s="10">
        <f t="shared" si="12"/>
        <v>0</v>
      </c>
      <c r="X105" s="11">
        <f t="shared" si="12"/>
        <v>0</v>
      </c>
      <c r="Y105" s="12">
        <f t="shared" si="12"/>
        <v>0</v>
      </c>
      <c r="Z105" s="13">
        <f t="shared" si="12"/>
        <v>0</v>
      </c>
    </row>
    <row r="106" spans="1:26" x14ac:dyDescent="0.25">
      <c r="B106" s="4">
        <v>104</v>
      </c>
      <c r="C106" s="4">
        <f t="array" ref="C106">INDEX(Sheet1!$B$2:$F$22000,SMALL(IF(Sheet1!$A$2:$A$22000=$A$1,ROW(Sheet1!$B$2:$B$22000)),ROW($A104:$F104))-1,2)</f>
        <v>0</v>
      </c>
      <c r="D106" s="4">
        <f t="array" ref="D106">INDEX(Sheet1!$B$2:$F$22000,SMALL(IF(Sheet1!$A$2:$A$22000=$A$1,ROW(Sheet1!$B$2:$B$22000)),ROW($A104:$F104))-1,3)</f>
        <v>0</v>
      </c>
      <c r="E106" s="4">
        <f t="array" ref="E106">INDEX(Sheet1!$B$2:$F$22000,SMALL(IF(Sheet1!$A$2:$A$22000=$A$1,ROW(Sheet1!$B$2:$B$22000)),ROW($A104:$F104))-1,4)</f>
        <v>0</v>
      </c>
      <c r="F106" s="4">
        <f t="array" ref="F106">INDEX(Sheet1!$B$2:$F$22000,SMALL(IF(Sheet1!$A$2:$A$22000=$A$1,ROW(Sheet1!$B$2:$B$22000)),ROW($A104:$F104))-1,5)</f>
        <v>0</v>
      </c>
      <c r="M106" s="9">
        <v>104</v>
      </c>
      <c r="N106" s="10">
        <f t="shared" si="8"/>
        <v>0</v>
      </c>
      <c r="O106" s="11">
        <f t="shared" si="9"/>
        <v>0</v>
      </c>
      <c r="P106" s="12">
        <f t="shared" si="10"/>
        <v>0</v>
      </c>
      <c r="Q106" s="13">
        <f t="shared" si="11"/>
        <v>0</v>
      </c>
      <c r="V106" s="14">
        <f t="shared" si="7"/>
        <v>0.203125</v>
      </c>
      <c r="W106" s="10">
        <f t="shared" si="12"/>
        <v>0</v>
      </c>
      <c r="X106" s="11">
        <f t="shared" si="12"/>
        <v>0</v>
      </c>
      <c r="Y106" s="12">
        <f t="shared" si="12"/>
        <v>0</v>
      </c>
      <c r="Z106" s="13">
        <f t="shared" si="12"/>
        <v>0</v>
      </c>
    </row>
    <row r="107" spans="1:26" x14ac:dyDescent="0.25">
      <c r="B107" s="4">
        <v>105</v>
      </c>
      <c r="C107" s="4">
        <f t="array" ref="C107">INDEX(Sheet1!$B$2:$F$22000,SMALL(IF(Sheet1!$A$2:$A$22000=$A$1,ROW(Sheet1!$B$2:$B$22000)),ROW($A105:$F105))-1,2)</f>
        <v>0</v>
      </c>
      <c r="D107" s="4">
        <f t="array" ref="D107">INDEX(Sheet1!$B$2:$F$22000,SMALL(IF(Sheet1!$A$2:$A$22000=$A$1,ROW(Sheet1!$B$2:$B$22000)),ROW($A105:$F105))-1,3)</f>
        <v>0</v>
      </c>
      <c r="E107" s="4">
        <f t="array" ref="E107">INDEX(Sheet1!$B$2:$F$22000,SMALL(IF(Sheet1!$A$2:$A$22000=$A$1,ROW(Sheet1!$B$2:$B$22000)),ROW($A105:$F105))-1,4)</f>
        <v>0</v>
      </c>
      <c r="F107" s="4">
        <f t="array" ref="F107">INDEX(Sheet1!$B$2:$F$22000,SMALL(IF(Sheet1!$A$2:$A$22000=$A$1,ROW(Sheet1!$B$2:$B$22000)),ROW($A105:$F105))-1,5)</f>
        <v>0</v>
      </c>
      <c r="M107" s="9">
        <v>105</v>
      </c>
      <c r="N107" s="10">
        <f t="shared" si="8"/>
        <v>0</v>
      </c>
      <c r="O107" s="11">
        <f t="shared" si="9"/>
        <v>0</v>
      </c>
      <c r="P107" s="12">
        <f t="shared" si="10"/>
        <v>0</v>
      </c>
      <c r="Q107" s="13">
        <f t="shared" si="11"/>
        <v>0</v>
      </c>
      <c r="V107" s="14">
        <f t="shared" si="7"/>
        <v>0.205078125</v>
      </c>
      <c r="W107" s="10">
        <f t="shared" si="12"/>
        <v>0</v>
      </c>
      <c r="X107" s="11">
        <f t="shared" si="12"/>
        <v>0</v>
      </c>
      <c r="Y107" s="12">
        <f t="shared" si="12"/>
        <v>0</v>
      </c>
      <c r="Z107" s="13">
        <f t="shared" si="12"/>
        <v>0</v>
      </c>
    </row>
    <row r="108" spans="1:26" x14ac:dyDescent="0.25">
      <c r="B108" s="4">
        <v>106</v>
      </c>
      <c r="C108" s="4">
        <f t="array" ref="C108">INDEX(Sheet1!$B$2:$F$22000,SMALL(IF(Sheet1!$A$2:$A$22000=$A$1,ROW(Sheet1!$B$2:$B$22000)),ROW($A106:$F106))-1,2)</f>
        <v>0</v>
      </c>
      <c r="D108" s="4">
        <f t="array" ref="D108">INDEX(Sheet1!$B$2:$F$22000,SMALL(IF(Sheet1!$A$2:$A$22000=$A$1,ROW(Sheet1!$B$2:$B$22000)),ROW($A106:$F106))-1,3)</f>
        <v>0</v>
      </c>
      <c r="E108" s="4">
        <f t="array" ref="E108">INDEX(Sheet1!$B$2:$F$22000,SMALL(IF(Sheet1!$A$2:$A$22000=$A$1,ROW(Sheet1!$B$2:$B$22000)),ROW($A106:$F106))-1,4)</f>
        <v>0</v>
      </c>
      <c r="F108" s="4">
        <f t="array" ref="F108">INDEX(Sheet1!$B$2:$F$22000,SMALL(IF(Sheet1!$A$2:$A$22000=$A$1,ROW(Sheet1!$B$2:$B$22000)),ROW($A106:$F106))-1,5)</f>
        <v>0</v>
      </c>
      <c r="M108" s="9">
        <v>106</v>
      </c>
      <c r="N108" s="10">
        <f t="shared" si="8"/>
        <v>0</v>
      </c>
      <c r="O108" s="11">
        <f t="shared" si="9"/>
        <v>0</v>
      </c>
      <c r="P108" s="12">
        <f t="shared" si="10"/>
        <v>0</v>
      </c>
      <c r="Q108" s="13">
        <f t="shared" si="11"/>
        <v>0</v>
      </c>
      <c r="V108" s="14">
        <f t="shared" si="7"/>
        <v>0.20703125</v>
      </c>
      <c r="W108" s="10">
        <f t="shared" si="12"/>
        <v>0</v>
      </c>
      <c r="X108" s="11">
        <f t="shared" si="12"/>
        <v>0</v>
      </c>
      <c r="Y108" s="12">
        <f t="shared" si="12"/>
        <v>0</v>
      </c>
      <c r="Z108" s="13">
        <f t="shared" si="12"/>
        <v>0</v>
      </c>
    </row>
    <row r="109" spans="1:26" x14ac:dyDescent="0.25">
      <c r="B109" s="4">
        <v>107</v>
      </c>
      <c r="C109" s="4">
        <f t="array" ref="C109">INDEX(Sheet1!$B$2:$F$22000,SMALL(IF(Sheet1!$A$2:$A$22000=$A$1,ROW(Sheet1!$B$2:$B$22000)),ROW($A107:$F107))-1,2)</f>
        <v>0</v>
      </c>
      <c r="D109" s="4">
        <f t="array" ref="D109">INDEX(Sheet1!$B$2:$F$22000,SMALL(IF(Sheet1!$A$2:$A$22000=$A$1,ROW(Sheet1!$B$2:$B$22000)),ROW($A107:$F107))-1,3)</f>
        <v>0</v>
      </c>
      <c r="E109" s="4">
        <f t="array" ref="E109">INDEX(Sheet1!$B$2:$F$22000,SMALL(IF(Sheet1!$A$2:$A$22000=$A$1,ROW(Sheet1!$B$2:$B$22000)),ROW($A107:$F107))-1,4)</f>
        <v>0</v>
      </c>
      <c r="F109" s="4">
        <f t="array" ref="F109">INDEX(Sheet1!$B$2:$F$22000,SMALL(IF(Sheet1!$A$2:$A$22000=$A$1,ROW(Sheet1!$B$2:$B$22000)),ROW($A107:$F107))-1,5)</f>
        <v>0</v>
      </c>
      <c r="M109" s="9">
        <v>107</v>
      </c>
      <c r="N109" s="10">
        <f t="shared" si="8"/>
        <v>0</v>
      </c>
      <c r="O109" s="11">
        <f t="shared" si="9"/>
        <v>0</v>
      </c>
      <c r="P109" s="12">
        <f t="shared" si="10"/>
        <v>0</v>
      </c>
      <c r="Q109" s="13">
        <f t="shared" si="11"/>
        <v>0</v>
      </c>
      <c r="V109" s="14">
        <f t="shared" si="7"/>
        <v>0.208984375</v>
      </c>
      <c r="W109" s="10">
        <f t="shared" si="12"/>
        <v>0</v>
      </c>
      <c r="X109" s="11">
        <f t="shared" si="12"/>
        <v>0</v>
      </c>
      <c r="Y109" s="12">
        <f t="shared" si="12"/>
        <v>0</v>
      </c>
      <c r="Z109" s="13">
        <f t="shared" si="12"/>
        <v>0</v>
      </c>
    </row>
    <row r="110" spans="1:26" x14ac:dyDescent="0.25">
      <c r="B110" s="4">
        <v>108</v>
      </c>
      <c r="C110" s="4">
        <f t="array" ref="C110">INDEX(Sheet1!$B$2:$F$22000,SMALL(IF(Sheet1!$A$2:$A$22000=$A$1,ROW(Sheet1!$B$2:$B$22000)),ROW($A108:$F108))-1,2)</f>
        <v>0</v>
      </c>
      <c r="D110" s="4">
        <f t="array" ref="D110">INDEX(Sheet1!$B$2:$F$22000,SMALL(IF(Sheet1!$A$2:$A$22000=$A$1,ROW(Sheet1!$B$2:$B$22000)),ROW($A108:$F108))-1,3)</f>
        <v>0</v>
      </c>
      <c r="E110" s="4">
        <f t="array" ref="E110">INDEX(Sheet1!$B$2:$F$22000,SMALL(IF(Sheet1!$A$2:$A$22000=$A$1,ROW(Sheet1!$B$2:$B$22000)),ROW($A108:$F108))-1,4)</f>
        <v>0</v>
      </c>
      <c r="F110" s="4">
        <f t="array" ref="F110">INDEX(Sheet1!$B$2:$F$22000,SMALL(IF(Sheet1!$A$2:$A$22000=$A$1,ROW(Sheet1!$B$2:$B$22000)),ROW($A108:$F108))-1,5)</f>
        <v>0</v>
      </c>
      <c r="M110" s="9">
        <v>108</v>
      </c>
      <c r="N110" s="10">
        <f t="shared" si="8"/>
        <v>0</v>
      </c>
      <c r="O110" s="11">
        <f t="shared" si="9"/>
        <v>0</v>
      </c>
      <c r="P110" s="12">
        <f t="shared" si="10"/>
        <v>0</v>
      </c>
      <c r="Q110" s="13">
        <f t="shared" si="11"/>
        <v>0</v>
      </c>
      <c r="V110" s="14">
        <f t="shared" si="7"/>
        <v>0.2109375</v>
      </c>
      <c r="W110" s="10">
        <f t="shared" si="12"/>
        <v>0</v>
      </c>
      <c r="X110" s="11">
        <f t="shared" si="12"/>
        <v>0</v>
      </c>
      <c r="Y110" s="12">
        <f t="shared" si="12"/>
        <v>0</v>
      </c>
      <c r="Z110" s="13">
        <f t="shared" si="12"/>
        <v>0</v>
      </c>
    </row>
    <row r="111" spans="1:26" x14ac:dyDescent="0.25">
      <c r="B111" s="4">
        <v>109</v>
      </c>
      <c r="C111" s="4">
        <f t="array" ref="C111">INDEX(Sheet1!$B$2:$F$22000,SMALL(IF(Sheet1!$A$2:$A$22000=$A$1,ROW(Sheet1!$B$2:$B$22000)),ROW($A109:$F109))-1,2)</f>
        <v>0</v>
      </c>
      <c r="D111" s="4">
        <f t="array" ref="D111">INDEX(Sheet1!$B$2:$F$22000,SMALL(IF(Sheet1!$A$2:$A$22000=$A$1,ROW(Sheet1!$B$2:$B$22000)),ROW($A109:$F109))-1,3)</f>
        <v>0</v>
      </c>
      <c r="E111" s="4">
        <f t="array" ref="E111">INDEX(Sheet1!$B$2:$F$22000,SMALL(IF(Sheet1!$A$2:$A$22000=$A$1,ROW(Sheet1!$B$2:$B$22000)),ROW($A109:$F109))-1,4)</f>
        <v>0</v>
      </c>
      <c r="F111" s="4">
        <f t="array" ref="F111">INDEX(Sheet1!$B$2:$F$22000,SMALL(IF(Sheet1!$A$2:$A$22000=$A$1,ROW(Sheet1!$B$2:$B$22000)),ROW($A109:$F109))-1,5)</f>
        <v>0</v>
      </c>
      <c r="M111" s="9">
        <v>109</v>
      </c>
      <c r="N111" s="10">
        <f t="shared" si="8"/>
        <v>0</v>
      </c>
      <c r="O111" s="11">
        <f t="shared" si="9"/>
        <v>0</v>
      </c>
      <c r="P111" s="12">
        <f t="shared" si="10"/>
        <v>0</v>
      </c>
      <c r="Q111" s="13">
        <f t="shared" si="11"/>
        <v>0</v>
      </c>
      <c r="V111" s="14">
        <f t="shared" si="7"/>
        <v>0.212890625</v>
      </c>
      <c r="W111" s="10">
        <f t="shared" si="12"/>
        <v>0</v>
      </c>
      <c r="X111" s="11">
        <f t="shared" si="12"/>
        <v>0</v>
      </c>
      <c r="Y111" s="12">
        <f t="shared" si="12"/>
        <v>0</v>
      </c>
      <c r="Z111" s="13">
        <f t="shared" si="12"/>
        <v>0</v>
      </c>
    </row>
    <row r="112" spans="1:26" x14ac:dyDescent="0.25">
      <c r="B112" s="4">
        <v>110</v>
      </c>
      <c r="C112" s="4">
        <f t="array" ref="C112">INDEX(Sheet1!$B$2:$F$22000,SMALL(IF(Sheet1!$A$2:$A$22000=$A$1,ROW(Sheet1!$B$2:$B$22000)),ROW($A110:$F110))-1,2)</f>
        <v>0</v>
      </c>
      <c r="D112" s="4">
        <f t="array" ref="D112">INDEX(Sheet1!$B$2:$F$22000,SMALL(IF(Sheet1!$A$2:$A$22000=$A$1,ROW(Sheet1!$B$2:$B$22000)),ROW($A110:$F110))-1,3)</f>
        <v>0</v>
      </c>
      <c r="E112" s="4">
        <f t="array" ref="E112">INDEX(Sheet1!$B$2:$F$22000,SMALL(IF(Sheet1!$A$2:$A$22000=$A$1,ROW(Sheet1!$B$2:$B$22000)),ROW($A110:$F110))-1,4)</f>
        <v>0</v>
      </c>
      <c r="F112" s="4">
        <f t="array" ref="F112">INDEX(Sheet1!$B$2:$F$22000,SMALL(IF(Sheet1!$A$2:$A$22000=$A$1,ROW(Sheet1!$B$2:$B$22000)),ROW($A110:$F110))-1,5)</f>
        <v>0</v>
      </c>
      <c r="M112" s="9">
        <v>110</v>
      </c>
      <c r="N112" s="10">
        <f t="shared" si="8"/>
        <v>0</v>
      </c>
      <c r="O112" s="11">
        <f t="shared" si="9"/>
        <v>0</v>
      </c>
      <c r="P112" s="12">
        <f t="shared" si="10"/>
        <v>0</v>
      </c>
      <c r="Q112" s="13">
        <f t="shared" si="11"/>
        <v>0</v>
      </c>
      <c r="V112" s="14">
        <f t="shared" si="7"/>
        <v>0.21484375</v>
      </c>
      <c r="W112" s="10">
        <f t="shared" si="12"/>
        <v>0</v>
      </c>
      <c r="X112" s="11">
        <f t="shared" si="12"/>
        <v>0</v>
      </c>
      <c r="Y112" s="12">
        <f t="shared" si="12"/>
        <v>0</v>
      </c>
      <c r="Z112" s="13">
        <f t="shared" si="12"/>
        <v>0</v>
      </c>
    </row>
    <row r="113" spans="2:26" x14ac:dyDescent="0.25">
      <c r="B113" s="4">
        <v>111</v>
      </c>
      <c r="C113" s="4">
        <f t="array" ref="C113">INDEX(Sheet1!$B$2:$F$22000,SMALL(IF(Sheet1!$A$2:$A$22000=$A$1,ROW(Sheet1!$B$2:$B$22000)),ROW($A111:$F111))-1,2)</f>
        <v>0</v>
      </c>
      <c r="D113" s="4">
        <f t="array" ref="D113">INDEX(Sheet1!$B$2:$F$22000,SMALL(IF(Sheet1!$A$2:$A$22000=$A$1,ROW(Sheet1!$B$2:$B$22000)),ROW($A111:$F111))-1,3)</f>
        <v>0</v>
      </c>
      <c r="E113" s="4">
        <f t="array" ref="E113">INDEX(Sheet1!$B$2:$F$22000,SMALL(IF(Sheet1!$A$2:$A$22000=$A$1,ROW(Sheet1!$B$2:$B$22000)),ROW($A111:$F111))-1,4)</f>
        <v>0</v>
      </c>
      <c r="F113" s="4">
        <f t="array" ref="F113">INDEX(Sheet1!$B$2:$F$22000,SMALL(IF(Sheet1!$A$2:$A$22000=$A$1,ROW(Sheet1!$B$2:$B$22000)),ROW($A111:$F111))-1,5)</f>
        <v>0</v>
      </c>
      <c r="M113" s="9">
        <v>111</v>
      </c>
      <c r="N113" s="10">
        <f t="shared" si="8"/>
        <v>0</v>
      </c>
      <c r="O113" s="11">
        <f t="shared" si="9"/>
        <v>0</v>
      </c>
      <c r="P113" s="12">
        <f t="shared" si="10"/>
        <v>0</v>
      </c>
      <c r="Q113" s="13">
        <f t="shared" si="11"/>
        <v>0</v>
      </c>
      <c r="V113" s="14">
        <f t="shared" si="7"/>
        <v>0.216796875</v>
      </c>
      <c r="W113" s="10">
        <f t="shared" si="12"/>
        <v>0</v>
      </c>
      <c r="X113" s="11">
        <f t="shared" si="12"/>
        <v>0</v>
      </c>
      <c r="Y113" s="12">
        <f t="shared" si="12"/>
        <v>0</v>
      </c>
      <c r="Z113" s="13">
        <f t="shared" si="12"/>
        <v>0</v>
      </c>
    </row>
    <row r="114" spans="2:26" x14ac:dyDescent="0.25">
      <c r="B114" s="4">
        <v>112</v>
      </c>
      <c r="C114" s="4">
        <f t="array" ref="C114">INDEX(Sheet1!$B$2:$F$22000,SMALL(IF(Sheet1!$A$2:$A$22000=$A$1,ROW(Sheet1!$B$2:$B$22000)),ROW($A112:$F112))-1,2)</f>
        <v>0</v>
      </c>
      <c r="D114" s="4">
        <f t="array" ref="D114">INDEX(Sheet1!$B$2:$F$22000,SMALL(IF(Sheet1!$A$2:$A$22000=$A$1,ROW(Sheet1!$B$2:$B$22000)),ROW($A112:$F112))-1,3)</f>
        <v>0</v>
      </c>
      <c r="E114" s="4">
        <f t="array" ref="E114">INDEX(Sheet1!$B$2:$F$22000,SMALL(IF(Sheet1!$A$2:$A$22000=$A$1,ROW(Sheet1!$B$2:$B$22000)),ROW($A112:$F112))-1,4)</f>
        <v>0</v>
      </c>
      <c r="F114" s="4">
        <f t="array" ref="F114">INDEX(Sheet1!$B$2:$F$22000,SMALL(IF(Sheet1!$A$2:$A$22000=$A$1,ROW(Sheet1!$B$2:$B$22000)),ROW($A112:$F112))-1,5)</f>
        <v>0</v>
      </c>
      <c r="M114" s="9">
        <v>112</v>
      </c>
      <c r="N114" s="10">
        <f t="shared" si="8"/>
        <v>0</v>
      </c>
      <c r="O114" s="11">
        <f t="shared" si="9"/>
        <v>0</v>
      </c>
      <c r="P114" s="12">
        <f t="shared" si="10"/>
        <v>0</v>
      </c>
      <c r="Q114" s="13">
        <f t="shared" si="11"/>
        <v>0</v>
      </c>
      <c r="V114" s="14">
        <f t="shared" si="7"/>
        <v>0.21875</v>
      </c>
      <c r="W114" s="10">
        <f t="shared" si="12"/>
        <v>0</v>
      </c>
      <c r="X114" s="11">
        <f t="shared" si="12"/>
        <v>0</v>
      </c>
      <c r="Y114" s="12">
        <f t="shared" si="12"/>
        <v>0</v>
      </c>
      <c r="Z114" s="13">
        <f t="shared" si="12"/>
        <v>0</v>
      </c>
    </row>
    <row r="115" spans="2:26" x14ac:dyDescent="0.25">
      <c r="B115" s="4">
        <v>113</v>
      </c>
      <c r="C115" s="4">
        <f t="array" ref="C115">INDEX(Sheet1!$B$2:$F$22000,SMALL(IF(Sheet1!$A$2:$A$22000=$A$1,ROW(Sheet1!$B$2:$B$22000)),ROW($A113:$F113))-1,2)</f>
        <v>0</v>
      </c>
      <c r="D115" s="4">
        <f t="array" ref="D115">INDEX(Sheet1!$B$2:$F$22000,SMALL(IF(Sheet1!$A$2:$A$22000=$A$1,ROW(Sheet1!$B$2:$B$22000)),ROW($A113:$F113))-1,3)</f>
        <v>0</v>
      </c>
      <c r="E115" s="4">
        <f t="array" ref="E115">INDEX(Sheet1!$B$2:$F$22000,SMALL(IF(Sheet1!$A$2:$A$22000=$A$1,ROW(Sheet1!$B$2:$B$22000)),ROW($A113:$F113))-1,4)</f>
        <v>0</v>
      </c>
      <c r="F115" s="4">
        <f t="array" ref="F115">INDEX(Sheet1!$B$2:$F$22000,SMALL(IF(Sheet1!$A$2:$A$22000=$A$1,ROW(Sheet1!$B$2:$B$22000)),ROW($A113:$F113))-1,5)</f>
        <v>0</v>
      </c>
      <c r="M115" s="9">
        <v>113</v>
      </c>
      <c r="N115" s="10">
        <f t="shared" si="8"/>
        <v>0</v>
      </c>
      <c r="O115" s="11">
        <f t="shared" si="9"/>
        <v>0</v>
      </c>
      <c r="P115" s="12">
        <f t="shared" si="10"/>
        <v>0</v>
      </c>
      <c r="Q115" s="13">
        <f t="shared" si="11"/>
        <v>0</v>
      </c>
      <c r="V115" s="14">
        <f t="shared" si="7"/>
        <v>0.220703125</v>
      </c>
      <c r="W115" s="10">
        <f t="shared" si="12"/>
        <v>0</v>
      </c>
      <c r="X115" s="11">
        <f t="shared" si="12"/>
        <v>0</v>
      </c>
      <c r="Y115" s="12">
        <f t="shared" si="12"/>
        <v>0</v>
      </c>
      <c r="Z115" s="13">
        <f t="shared" si="12"/>
        <v>0</v>
      </c>
    </row>
    <row r="116" spans="2:26" x14ac:dyDescent="0.25">
      <c r="B116" s="4">
        <v>114</v>
      </c>
      <c r="C116" s="4">
        <f t="array" ref="C116">INDEX(Sheet1!$B$2:$F$22000,SMALL(IF(Sheet1!$A$2:$A$22000=$A$1,ROW(Sheet1!$B$2:$B$22000)),ROW($A114:$F114))-1,2)</f>
        <v>0</v>
      </c>
      <c r="D116" s="4">
        <f t="array" ref="D116">INDEX(Sheet1!$B$2:$F$22000,SMALL(IF(Sheet1!$A$2:$A$22000=$A$1,ROW(Sheet1!$B$2:$B$22000)),ROW($A114:$F114))-1,3)</f>
        <v>0</v>
      </c>
      <c r="E116" s="4">
        <f t="array" ref="E116">INDEX(Sheet1!$B$2:$F$22000,SMALL(IF(Sheet1!$A$2:$A$22000=$A$1,ROW(Sheet1!$B$2:$B$22000)),ROW($A114:$F114))-1,4)</f>
        <v>0</v>
      </c>
      <c r="F116" s="4">
        <f t="array" ref="F116">INDEX(Sheet1!$B$2:$F$22000,SMALL(IF(Sheet1!$A$2:$A$22000=$A$1,ROW(Sheet1!$B$2:$B$22000)),ROW($A114:$F114))-1,5)</f>
        <v>0</v>
      </c>
      <c r="M116" s="9">
        <v>114</v>
      </c>
      <c r="N116" s="10">
        <f t="shared" si="8"/>
        <v>0</v>
      </c>
      <c r="O116" s="11">
        <f t="shared" si="9"/>
        <v>0</v>
      </c>
      <c r="P116" s="12">
        <f t="shared" si="10"/>
        <v>0</v>
      </c>
      <c r="Q116" s="13">
        <f t="shared" si="11"/>
        <v>0</v>
      </c>
      <c r="V116" s="14">
        <f t="shared" si="7"/>
        <v>0.22265625</v>
      </c>
      <c r="W116" s="10">
        <f t="shared" si="12"/>
        <v>0</v>
      </c>
      <c r="X116" s="11">
        <f t="shared" si="12"/>
        <v>0</v>
      </c>
      <c r="Y116" s="12">
        <f t="shared" si="12"/>
        <v>0</v>
      </c>
      <c r="Z116" s="13">
        <f t="shared" si="12"/>
        <v>0</v>
      </c>
    </row>
    <row r="117" spans="2:26" x14ac:dyDescent="0.25">
      <c r="B117" s="4">
        <v>115</v>
      </c>
      <c r="C117" s="4">
        <f t="array" ref="C117">INDEX(Sheet1!$B$2:$F$22000,SMALL(IF(Sheet1!$A$2:$A$22000=$A$1,ROW(Sheet1!$B$2:$B$22000)),ROW($A115:$F115))-1,2)</f>
        <v>0</v>
      </c>
      <c r="D117" s="4">
        <f t="array" ref="D117">INDEX(Sheet1!$B$2:$F$22000,SMALL(IF(Sheet1!$A$2:$A$22000=$A$1,ROW(Sheet1!$B$2:$B$22000)),ROW($A115:$F115))-1,3)</f>
        <v>0</v>
      </c>
      <c r="E117" s="4">
        <f t="array" ref="E117">INDEX(Sheet1!$B$2:$F$22000,SMALL(IF(Sheet1!$A$2:$A$22000=$A$1,ROW(Sheet1!$B$2:$B$22000)),ROW($A115:$F115))-1,4)</f>
        <v>0</v>
      </c>
      <c r="F117" s="4">
        <f t="array" ref="F117">INDEX(Sheet1!$B$2:$F$22000,SMALL(IF(Sheet1!$A$2:$A$22000=$A$1,ROW(Sheet1!$B$2:$B$22000)),ROW($A115:$F115))-1,5)</f>
        <v>0</v>
      </c>
      <c r="M117" s="9">
        <v>115</v>
      </c>
      <c r="N117" s="10">
        <f t="shared" si="8"/>
        <v>0</v>
      </c>
      <c r="O117" s="11">
        <f t="shared" si="9"/>
        <v>0</v>
      </c>
      <c r="P117" s="12">
        <f t="shared" si="10"/>
        <v>0</v>
      </c>
      <c r="Q117" s="13">
        <f t="shared" si="11"/>
        <v>0</v>
      </c>
      <c r="V117" s="14">
        <f t="shared" si="7"/>
        <v>0.224609375</v>
      </c>
      <c r="W117" s="10">
        <f t="shared" si="12"/>
        <v>0</v>
      </c>
      <c r="X117" s="11">
        <f t="shared" si="12"/>
        <v>0</v>
      </c>
      <c r="Y117" s="12">
        <f t="shared" si="12"/>
        <v>0</v>
      </c>
      <c r="Z117" s="13">
        <f t="shared" si="12"/>
        <v>0</v>
      </c>
    </row>
    <row r="118" spans="2:26" x14ac:dyDescent="0.25">
      <c r="B118" s="4">
        <v>116</v>
      </c>
      <c r="C118" s="4">
        <f t="array" ref="C118">INDEX(Sheet1!$B$2:$F$22000,SMALL(IF(Sheet1!$A$2:$A$22000=$A$1,ROW(Sheet1!$B$2:$B$22000)),ROW($A116:$F116))-1,2)</f>
        <v>0</v>
      </c>
      <c r="D118" s="4">
        <f t="array" ref="D118">INDEX(Sheet1!$B$2:$F$22000,SMALL(IF(Sheet1!$A$2:$A$22000=$A$1,ROW(Sheet1!$B$2:$B$22000)),ROW($A116:$F116))-1,3)</f>
        <v>0</v>
      </c>
      <c r="E118" s="4">
        <f t="array" ref="E118">INDEX(Sheet1!$B$2:$F$22000,SMALL(IF(Sheet1!$A$2:$A$22000=$A$1,ROW(Sheet1!$B$2:$B$22000)),ROW($A116:$F116))-1,4)</f>
        <v>0</v>
      </c>
      <c r="F118" s="4">
        <f t="array" ref="F118">INDEX(Sheet1!$B$2:$F$22000,SMALL(IF(Sheet1!$A$2:$A$22000=$A$1,ROW(Sheet1!$B$2:$B$22000)),ROW($A116:$F116))-1,5)</f>
        <v>0</v>
      </c>
      <c r="M118" s="9">
        <v>116</v>
      </c>
      <c r="N118" s="10">
        <f t="shared" si="8"/>
        <v>0</v>
      </c>
      <c r="O118" s="11">
        <f t="shared" si="9"/>
        <v>0</v>
      </c>
      <c r="P118" s="12">
        <f t="shared" si="10"/>
        <v>0</v>
      </c>
      <c r="Q118" s="13">
        <f t="shared" si="11"/>
        <v>0</v>
      </c>
      <c r="V118" s="14">
        <f t="shared" si="7"/>
        <v>0.2265625</v>
      </c>
      <c r="W118" s="10">
        <f t="shared" si="12"/>
        <v>0</v>
      </c>
      <c r="X118" s="11">
        <f t="shared" si="12"/>
        <v>0</v>
      </c>
      <c r="Y118" s="12">
        <f t="shared" si="12"/>
        <v>0</v>
      </c>
      <c r="Z118" s="13">
        <f t="shared" si="12"/>
        <v>0</v>
      </c>
    </row>
    <row r="119" spans="2:26" x14ac:dyDescent="0.25">
      <c r="B119" s="4">
        <v>117</v>
      </c>
      <c r="C119" s="4">
        <f t="array" ref="C119">INDEX(Sheet1!$B$2:$F$22000,SMALL(IF(Sheet1!$A$2:$A$22000=$A$1,ROW(Sheet1!$B$2:$B$22000)),ROW($A117:$F117))-1,2)</f>
        <v>0</v>
      </c>
      <c r="D119" s="4">
        <f t="array" ref="D119">INDEX(Sheet1!$B$2:$F$22000,SMALL(IF(Sheet1!$A$2:$A$22000=$A$1,ROW(Sheet1!$B$2:$B$22000)),ROW($A117:$F117))-1,3)</f>
        <v>0</v>
      </c>
      <c r="E119" s="4">
        <f t="array" ref="E119">INDEX(Sheet1!$B$2:$F$22000,SMALL(IF(Sheet1!$A$2:$A$22000=$A$1,ROW(Sheet1!$B$2:$B$22000)),ROW($A117:$F117))-1,4)</f>
        <v>0</v>
      </c>
      <c r="F119" s="4">
        <f t="array" ref="F119">INDEX(Sheet1!$B$2:$F$22000,SMALL(IF(Sheet1!$A$2:$A$22000=$A$1,ROW(Sheet1!$B$2:$B$22000)),ROW($A117:$F117))-1,5)</f>
        <v>0</v>
      </c>
      <c r="M119" s="9">
        <v>117</v>
      </c>
      <c r="N119" s="10">
        <f t="shared" si="8"/>
        <v>0</v>
      </c>
      <c r="O119" s="11">
        <f t="shared" si="9"/>
        <v>0</v>
      </c>
      <c r="P119" s="12">
        <f t="shared" si="10"/>
        <v>0</v>
      </c>
      <c r="Q119" s="13">
        <f t="shared" si="11"/>
        <v>0</v>
      </c>
      <c r="V119" s="14">
        <f t="shared" si="7"/>
        <v>0.228515625</v>
      </c>
      <c r="W119" s="10">
        <f t="shared" si="12"/>
        <v>0</v>
      </c>
      <c r="X119" s="11">
        <f t="shared" si="12"/>
        <v>0</v>
      </c>
      <c r="Y119" s="12">
        <f t="shared" si="12"/>
        <v>0</v>
      </c>
      <c r="Z119" s="13">
        <f t="shared" si="12"/>
        <v>0</v>
      </c>
    </row>
    <row r="120" spans="2:26" x14ac:dyDescent="0.25">
      <c r="B120" s="4">
        <v>118</v>
      </c>
      <c r="C120" s="4">
        <f t="array" ref="C120">INDEX(Sheet1!$B$2:$F$22000,SMALL(IF(Sheet1!$A$2:$A$22000=$A$1,ROW(Sheet1!$B$2:$B$22000)),ROW($A118:$F118))-1,2)</f>
        <v>0</v>
      </c>
      <c r="D120" s="4">
        <f t="array" ref="D120">INDEX(Sheet1!$B$2:$F$22000,SMALL(IF(Sheet1!$A$2:$A$22000=$A$1,ROW(Sheet1!$B$2:$B$22000)),ROW($A118:$F118))-1,3)</f>
        <v>0</v>
      </c>
      <c r="E120" s="4">
        <f t="array" ref="E120">INDEX(Sheet1!$B$2:$F$22000,SMALL(IF(Sheet1!$A$2:$A$22000=$A$1,ROW(Sheet1!$B$2:$B$22000)),ROW($A118:$F118))-1,4)</f>
        <v>0</v>
      </c>
      <c r="F120" s="4">
        <f t="array" ref="F120">INDEX(Sheet1!$B$2:$F$22000,SMALL(IF(Sheet1!$A$2:$A$22000=$A$1,ROW(Sheet1!$B$2:$B$22000)),ROW($A118:$F118))-1,5)</f>
        <v>0</v>
      </c>
      <c r="M120" s="9">
        <v>118</v>
      </c>
      <c r="N120" s="10">
        <f t="shared" si="8"/>
        <v>0</v>
      </c>
      <c r="O120" s="11">
        <f t="shared" si="9"/>
        <v>0</v>
      </c>
      <c r="P120" s="12">
        <f t="shared" si="10"/>
        <v>0</v>
      </c>
      <c r="Q120" s="13">
        <f t="shared" si="11"/>
        <v>0</v>
      </c>
      <c r="V120" s="14">
        <f t="shared" si="7"/>
        <v>0.23046875</v>
      </c>
      <c r="W120" s="10">
        <f t="shared" si="12"/>
        <v>0</v>
      </c>
      <c r="X120" s="11">
        <f t="shared" si="12"/>
        <v>0</v>
      </c>
      <c r="Y120" s="12">
        <f t="shared" si="12"/>
        <v>0</v>
      </c>
      <c r="Z120" s="13">
        <f t="shared" si="12"/>
        <v>0</v>
      </c>
    </row>
    <row r="121" spans="2:26" x14ac:dyDescent="0.25">
      <c r="B121" s="4">
        <v>119</v>
      </c>
      <c r="C121" s="4">
        <f t="array" ref="C121">INDEX(Sheet1!$B$2:$F$22000,SMALL(IF(Sheet1!$A$2:$A$22000=$A$1,ROW(Sheet1!$B$2:$B$22000)),ROW($A119:$F119))-1,2)</f>
        <v>0</v>
      </c>
      <c r="D121" s="4">
        <f t="array" ref="D121">INDEX(Sheet1!$B$2:$F$22000,SMALL(IF(Sheet1!$A$2:$A$22000=$A$1,ROW(Sheet1!$B$2:$B$22000)),ROW($A119:$F119))-1,3)</f>
        <v>0</v>
      </c>
      <c r="E121" s="4">
        <f t="array" ref="E121">INDEX(Sheet1!$B$2:$F$22000,SMALL(IF(Sheet1!$A$2:$A$22000=$A$1,ROW(Sheet1!$B$2:$B$22000)),ROW($A119:$F119))-1,4)</f>
        <v>0</v>
      </c>
      <c r="F121" s="4">
        <f t="array" ref="F121">INDEX(Sheet1!$B$2:$F$22000,SMALL(IF(Sheet1!$A$2:$A$22000=$A$1,ROW(Sheet1!$B$2:$B$22000)),ROW($A119:$F119))-1,5)</f>
        <v>0</v>
      </c>
      <c r="M121" s="9">
        <v>119</v>
      </c>
      <c r="N121" s="10">
        <f t="shared" si="8"/>
        <v>0</v>
      </c>
      <c r="O121" s="11">
        <f t="shared" si="9"/>
        <v>0</v>
      </c>
      <c r="P121" s="12">
        <f t="shared" si="10"/>
        <v>0</v>
      </c>
      <c r="Q121" s="13">
        <f t="shared" si="11"/>
        <v>0</v>
      </c>
      <c r="V121" s="14">
        <f t="shared" si="7"/>
        <v>0.232421875</v>
      </c>
      <c r="W121" s="10">
        <f t="shared" si="12"/>
        <v>0</v>
      </c>
      <c r="X121" s="11">
        <f t="shared" si="12"/>
        <v>0</v>
      </c>
      <c r="Y121" s="12">
        <f t="shared" si="12"/>
        <v>0</v>
      </c>
      <c r="Z121" s="13">
        <f t="shared" si="12"/>
        <v>0</v>
      </c>
    </row>
    <row r="122" spans="2:26" x14ac:dyDescent="0.25">
      <c r="B122" s="4">
        <v>120</v>
      </c>
      <c r="C122" s="4">
        <f t="array" ref="C122">INDEX(Sheet1!$B$2:$F$22000,SMALL(IF(Sheet1!$A$2:$A$22000=$A$1,ROW(Sheet1!$B$2:$B$22000)),ROW($A120:$F120))-1,2)</f>
        <v>0</v>
      </c>
      <c r="D122" s="4">
        <f t="array" ref="D122">INDEX(Sheet1!$B$2:$F$22000,SMALL(IF(Sheet1!$A$2:$A$22000=$A$1,ROW(Sheet1!$B$2:$B$22000)),ROW($A120:$F120))-1,3)</f>
        <v>0</v>
      </c>
      <c r="E122" s="4">
        <f t="array" ref="E122">INDEX(Sheet1!$B$2:$F$22000,SMALL(IF(Sheet1!$A$2:$A$22000=$A$1,ROW(Sheet1!$B$2:$B$22000)),ROW($A120:$F120))-1,4)</f>
        <v>0</v>
      </c>
      <c r="F122" s="4">
        <f t="array" ref="F122">INDEX(Sheet1!$B$2:$F$22000,SMALL(IF(Sheet1!$A$2:$A$22000=$A$1,ROW(Sheet1!$B$2:$B$22000)),ROW($A120:$F120))-1,5)</f>
        <v>0</v>
      </c>
      <c r="M122" s="9">
        <v>120</v>
      </c>
      <c r="N122" s="10">
        <f t="shared" si="8"/>
        <v>0</v>
      </c>
      <c r="O122" s="11">
        <f t="shared" si="9"/>
        <v>0</v>
      </c>
      <c r="P122" s="12">
        <f t="shared" si="10"/>
        <v>0</v>
      </c>
      <c r="Q122" s="13">
        <f t="shared" si="11"/>
        <v>0</v>
      </c>
      <c r="V122" s="14">
        <f t="shared" si="7"/>
        <v>0.234375</v>
      </c>
      <c r="W122" s="10">
        <f t="shared" si="12"/>
        <v>0</v>
      </c>
      <c r="X122" s="11">
        <f t="shared" si="12"/>
        <v>0</v>
      </c>
      <c r="Y122" s="12">
        <f t="shared" si="12"/>
        <v>0</v>
      </c>
      <c r="Z122" s="13">
        <f t="shared" si="12"/>
        <v>0</v>
      </c>
    </row>
    <row r="123" spans="2:26" x14ac:dyDescent="0.25">
      <c r="B123" s="4">
        <v>121</v>
      </c>
      <c r="C123" s="4">
        <f t="array" ref="C123">INDEX(Sheet1!$B$2:$F$22000,SMALL(IF(Sheet1!$A$2:$A$22000=$A$1,ROW(Sheet1!$B$2:$B$22000)),ROW($A121:$F121))-1,2)</f>
        <v>0</v>
      </c>
      <c r="D123" s="4">
        <f t="array" ref="D123">INDEX(Sheet1!$B$2:$F$22000,SMALL(IF(Sheet1!$A$2:$A$22000=$A$1,ROW(Sheet1!$B$2:$B$22000)),ROW($A121:$F121))-1,3)</f>
        <v>0</v>
      </c>
      <c r="E123" s="4">
        <f t="array" ref="E123">INDEX(Sheet1!$B$2:$F$22000,SMALL(IF(Sheet1!$A$2:$A$22000=$A$1,ROW(Sheet1!$B$2:$B$22000)),ROW($A121:$F121))-1,4)</f>
        <v>0</v>
      </c>
      <c r="F123" s="4">
        <f t="array" ref="F123">INDEX(Sheet1!$B$2:$F$22000,SMALL(IF(Sheet1!$A$2:$A$22000=$A$1,ROW(Sheet1!$B$2:$B$22000)),ROW($A121:$F121))-1,5)</f>
        <v>0</v>
      </c>
      <c r="M123" s="9">
        <v>121</v>
      </c>
      <c r="N123" s="10">
        <f t="shared" si="8"/>
        <v>0</v>
      </c>
      <c r="O123" s="11">
        <f t="shared" si="9"/>
        <v>0</v>
      </c>
      <c r="P123" s="12">
        <f t="shared" si="10"/>
        <v>0</v>
      </c>
      <c r="Q123" s="13">
        <f t="shared" si="11"/>
        <v>0</v>
      </c>
      <c r="V123" s="14">
        <f t="shared" si="7"/>
        <v>0.236328125</v>
      </c>
      <c r="W123" s="10">
        <f t="shared" si="12"/>
        <v>0</v>
      </c>
      <c r="X123" s="11">
        <f t="shared" si="12"/>
        <v>0</v>
      </c>
      <c r="Y123" s="12">
        <f t="shared" si="12"/>
        <v>0</v>
      </c>
      <c r="Z123" s="13">
        <f t="shared" si="12"/>
        <v>0</v>
      </c>
    </row>
    <row r="124" spans="2:26" x14ac:dyDescent="0.25">
      <c r="B124" s="4">
        <v>122</v>
      </c>
      <c r="C124" s="4">
        <f t="array" ref="C124">INDEX(Sheet1!$B$2:$F$22000,SMALL(IF(Sheet1!$A$2:$A$22000=$A$1,ROW(Sheet1!$B$2:$B$22000)),ROW($A122:$F122))-1,2)</f>
        <v>0</v>
      </c>
      <c r="D124" s="4">
        <f t="array" ref="D124">INDEX(Sheet1!$B$2:$F$22000,SMALL(IF(Sheet1!$A$2:$A$22000=$A$1,ROW(Sheet1!$B$2:$B$22000)),ROW($A122:$F122))-1,3)</f>
        <v>0</v>
      </c>
      <c r="E124" s="4">
        <f t="array" ref="E124">INDEX(Sheet1!$B$2:$F$22000,SMALL(IF(Sheet1!$A$2:$A$22000=$A$1,ROW(Sheet1!$B$2:$B$22000)),ROW($A122:$F122))-1,4)</f>
        <v>0</v>
      </c>
      <c r="F124" s="4">
        <f t="array" ref="F124">INDEX(Sheet1!$B$2:$F$22000,SMALL(IF(Sheet1!$A$2:$A$22000=$A$1,ROW(Sheet1!$B$2:$B$22000)),ROW($A122:$F122))-1,5)</f>
        <v>0</v>
      </c>
      <c r="M124" s="9">
        <v>122</v>
      </c>
      <c r="N124" s="10">
        <f t="shared" si="8"/>
        <v>0</v>
      </c>
      <c r="O124" s="11">
        <f t="shared" si="9"/>
        <v>0</v>
      </c>
      <c r="P124" s="12">
        <f t="shared" si="10"/>
        <v>0</v>
      </c>
      <c r="Q124" s="13">
        <f t="shared" si="11"/>
        <v>0</v>
      </c>
      <c r="V124" s="14">
        <f t="shared" si="7"/>
        <v>0.23828125</v>
      </c>
      <c r="W124" s="10">
        <f t="shared" si="12"/>
        <v>0</v>
      </c>
      <c r="X124" s="11">
        <f t="shared" si="12"/>
        <v>0</v>
      </c>
      <c r="Y124" s="12">
        <f t="shared" si="12"/>
        <v>0</v>
      </c>
      <c r="Z124" s="13">
        <f t="shared" si="12"/>
        <v>0</v>
      </c>
    </row>
    <row r="125" spans="2:26" x14ac:dyDescent="0.25">
      <c r="B125" s="4">
        <v>123</v>
      </c>
      <c r="C125" s="4">
        <f t="array" ref="C125">INDEX(Sheet1!$B$2:$F$22000,SMALL(IF(Sheet1!$A$2:$A$22000=$A$1,ROW(Sheet1!$B$2:$B$22000)),ROW($A123:$F123))-1,2)</f>
        <v>0</v>
      </c>
      <c r="D125" s="4">
        <f t="array" ref="D125">INDEX(Sheet1!$B$2:$F$22000,SMALL(IF(Sheet1!$A$2:$A$22000=$A$1,ROW(Sheet1!$B$2:$B$22000)),ROW($A123:$F123))-1,3)</f>
        <v>0</v>
      </c>
      <c r="E125" s="4">
        <f t="array" ref="E125">INDEX(Sheet1!$B$2:$F$22000,SMALL(IF(Sheet1!$A$2:$A$22000=$A$1,ROW(Sheet1!$B$2:$B$22000)),ROW($A123:$F123))-1,4)</f>
        <v>0</v>
      </c>
      <c r="F125" s="4">
        <f t="array" ref="F125">INDEX(Sheet1!$B$2:$F$22000,SMALL(IF(Sheet1!$A$2:$A$22000=$A$1,ROW(Sheet1!$B$2:$B$22000)),ROW($A123:$F123))-1,5)</f>
        <v>0</v>
      </c>
      <c r="M125" s="9">
        <v>123</v>
      </c>
      <c r="N125" s="10">
        <f t="shared" si="8"/>
        <v>0</v>
      </c>
      <c r="O125" s="11">
        <f t="shared" si="9"/>
        <v>0</v>
      </c>
      <c r="P125" s="12">
        <f t="shared" si="10"/>
        <v>0</v>
      </c>
      <c r="Q125" s="13">
        <f t="shared" si="11"/>
        <v>0</v>
      </c>
      <c r="V125" s="14">
        <f t="shared" si="7"/>
        <v>0.240234375</v>
      </c>
      <c r="W125" s="10">
        <f t="shared" si="12"/>
        <v>0</v>
      </c>
      <c r="X125" s="11">
        <f t="shared" si="12"/>
        <v>0</v>
      </c>
      <c r="Y125" s="12">
        <f t="shared" si="12"/>
        <v>0</v>
      </c>
      <c r="Z125" s="13">
        <f t="shared" si="12"/>
        <v>0</v>
      </c>
    </row>
    <row r="126" spans="2:26" x14ac:dyDescent="0.25">
      <c r="B126" s="4">
        <v>124</v>
      </c>
      <c r="C126" s="4">
        <f t="array" ref="C126">INDEX(Sheet1!$B$2:$F$22000,SMALL(IF(Sheet1!$A$2:$A$22000=$A$1,ROW(Sheet1!$B$2:$B$22000)),ROW($A124:$F124))-1,2)</f>
        <v>0</v>
      </c>
      <c r="D126" s="4">
        <f t="array" ref="D126">INDEX(Sheet1!$B$2:$F$22000,SMALL(IF(Sheet1!$A$2:$A$22000=$A$1,ROW(Sheet1!$B$2:$B$22000)),ROW($A124:$F124))-1,3)</f>
        <v>0</v>
      </c>
      <c r="E126" s="4">
        <f t="array" ref="E126">INDEX(Sheet1!$B$2:$F$22000,SMALL(IF(Sheet1!$A$2:$A$22000=$A$1,ROW(Sheet1!$B$2:$B$22000)),ROW($A124:$F124))-1,4)</f>
        <v>0</v>
      </c>
      <c r="F126" s="4">
        <f t="array" ref="F126">INDEX(Sheet1!$B$2:$F$22000,SMALL(IF(Sheet1!$A$2:$A$22000=$A$1,ROW(Sheet1!$B$2:$B$22000)),ROW($A124:$F124))-1,5)</f>
        <v>0</v>
      </c>
      <c r="M126" s="9">
        <v>124</v>
      </c>
      <c r="N126" s="10">
        <f t="shared" si="8"/>
        <v>0</v>
      </c>
      <c r="O126" s="11">
        <f t="shared" si="9"/>
        <v>0</v>
      </c>
      <c r="P126" s="12">
        <f t="shared" si="10"/>
        <v>0</v>
      </c>
      <c r="Q126" s="13">
        <f t="shared" si="11"/>
        <v>0</v>
      </c>
      <c r="V126" s="14">
        <f t="shared" si="7"/>
        <v>0.2421875</v>
      </c>
      <c r="W126" s="10">
        <f t="shared" si="12"/>
        <v>0</v>
      </c>
      <c r="X126" s="11">
        <f t="shared" si="12"/>
        <v>0</v>
      </c>
      <c r="Y126" s="12">
        <f t="shared" si="12"/>
        <v>0</v>
      </c>
      <c r="Z126" s="13">
        <f t="shared" si="12"/>
        <v>0</v>
      </c>
    </row>
    <row r="127" spans="2:26" x14ac:dyDescent="0.25">
      <c r="B127" s="4">
        <v>125</v>
      </c>
      <c r="C127" s="4">
        <f t="array" ref="C127">INDEX(Sheet1!$B$2:$F$22000,SMALL(IF(Sheet1!$A$2:$A$22000=$A$1,ROW(Sheet1!$B$2:$B$22000)),ROW($A125:$F125))-1,2)</f>
        <v>0</v>
      </c>
      <c r="D127" s="4">
        <f t="array" ref="D127">INDEX(Sheet1!$B$2:$F$22000,SMALL(IF(Sheet1!$A$2:$A$22000=$A$1,ROW(Sheet1!$B$2:$B$22000)),ROW($A125:$F125))-1,3)</f>
        <v>0</v>
      </c>
      <c r="E127" s="4">
        <f t="array" ref="E127">INDEX(Sheet1!$B$2:$F$22000,SMALL(IF(Sheet1!$A$2:$A$22000=$A$1,ROW(Sheet1!$B$2:$B$22000)),ROW($A125:$F125))-1,4)</f>
        <v>0</v>
      </c>
      <c r="F127" s="4">
        <f t="array" ref="F127">INDEX(Sheet1!$B$2:$F$22000,SMALL(IF(Sheet1!$A$2:$A$22000=$A$1,ROW(Sheet1!$B$2:$B$22000)),ROW($A125:$F125))-1,5)</f>
        <v>0</v>
      </c>
      <c r="M127" s="9">
        <v>125</v>
      </c>
      <c r="N127" s="10">
        <f t="shared" si="8"/>
        <v>0</v>
      </c>
      <c r="O127" s="11">
        <f t="shared" si="9"/>
        <v>0</v>
      </c>
      <c r="P127" s="12">
        <f t="shared" si="10"/>
        <v>0</v>
      </c>
      <c r="Q127" s="13">
        <f t="shared" si="11"/>
        <v>0</v>
      </c>
      <c r="V127" s="14">
        <f t="shared" si="7"/>
        <v>0.244140625</v>
      </c>
      <c r="W127" s="10">
        <f t="shared" si="12"/>
        <v>0</v>
      </c>
      <c r="X127" s="11">
        <f t="shared" si="12"/>
        <v>0</v>
      </c>
      <c r="Y127" s="12">
        <f t="shared" si="12"/>
        <v>0</v>
      </c>
      <c r="Z127" s="13">
        <f t="shared" si="12"/>
        <v>0</v>
      </c>
    </row>
    <row r="128" spans="2:26" x14ac:dyDescent="0.25">
      <c r="B128" s="4">
        <v>126</v>
      </c>
      <c r="C128" s="4">
        <f t="array" ref="C128">INDEX(Sheet1!$B$2:$F$22000,SMALL(IF(Sheet1!$A$2:$A$22000=$A$1,ROW(Sheet1!$B$2:$B$22000)),ROW($A126:$F126))-1,2)</f>
        <v>0</v>
      </c>
      <c r="D128" s="4">
        <f t="array" ref="D128">INDEX(Sheet1!$B$2:$F$22000,SMALL(IF(Sheet1!$A$2:$A$22000=$A$1,ROW(Sheet1!$B$2:$B$22000)),ROW($A126:$F126))-1,3)</f>
        <v>0</v>
      </c>
      <c r="E128" s="4">
        <f t="array" ref="E128">INDEX(Sheet1!$B$2:$F$22000,SMALL(IF(Sheet1!$A$2:$A$22000=$A$1,ROW(Sheet1!$B$2:$B$22000)),ROW($A126:$F126))-1,4)</f>
        <v>0</v>
      </c>
      <c r="F128" s="4">
        <f t="array" ref="F128">INDEX(Sheet1!$B$2:$F$22000,SMALL(IF(Sheet1!$A$2:$A$22000=$A$1,ROW(Sheet1!$B$2:$B$22000)),ROW($A126:$F126))-1,5)</f>
        <v>0</v>
      </c>
      <c r="M128" s="9">
        <v>126</v>
      </c>
      <c r="N128" s="10">
        <f t="shared" si="8"/>
        <v>0</v>
      </c>
      <c r="O128" s="11">
        <f t="shared" si="9"/>
        <v>0</v>
      </c>
      <c r="P128" s="12">
        <f t="shared" si="10"/>
        <v>0</v>
      </c>
      <c r="Q128" s="13">
        <f t="shared" si="11"/>
        <v>0</v>
      </c>
      <c r="V128" s="14">
        <f t="shared" si="7"/>
        <v>0.24609375</v>
      </c>
      <c r="W128" s="10">
        <f t="shared" si="12"/>
        <v>0</v>
      </c>
      <c r="X128" s="11">
        <f t="shared" si="12"/>
        <v>0</v>
      </c>
      <c r="Y128" s="12">
        <f t="shared" si="12"/>
        <v>0</v>
      </c>
      <c r="Z128" s="13">
        <f t="shared" si="12"/>
        <v>0</v>
      </c>
    </row>
    <row r="129" spans="2:26" x14ac:dyDescent="0.25">
      <c r="B129" s="4">
        <v>127</v>
      </c>
      <c r="C129" s="4">
        <f t="array" ref="C129">INDEX(Sheet1!$B$2:$F$22000,SMALL(IF(Sheet1!$A$2:$A$22000=$A$1,ROW(Sheet1!$B$2:$B$22000)),ROW($A127:$F127))-1,2)</f>
        <v>0</v>
      </c>
      <c r="D129" s="4">
        <f t="array" ref="D129">INDEX(Sheet1!$B$2:$F$22000,SMALL(IF(Sheet1!$A$2:$A$22000=$A$1,ROW(Sheet1!$B$2:$B$22000)),ROW($A127:$F127))-1,3)</f>
        <v>0</v>
      </c>
      <c r="E129" s="4">
        <f t="array" ref="E129">INDEX(Sheet1!$B$2:$F$22000,SMALL(IF(Sheet1!$A$2:$A$22000=$A$1,ROW(Sheet1!$B$2:$B$22000)),ROW($A127:$F127))-1,4)</f>
        <v>0</v>
      </c>
      <c r="F129" s="4">
        <f t="array" ref="F129">INDEX(Sheet1!$B$2:$F$22000,SMALL(IF(Sheet1!$A$2:$A$22000=$A$1,ROW(Sheet1!$B$2:$B$22000)),ROW($A127:$F127))-1,5)</f>
        <v>0</v>
      </c>
      <c r="M129" s="9">
        <v>127</v>
      </c>
      <c r="N129" s="10">
        <f t="shared" si="8"/>
        <v>0</v>
      </c>
      <c r="O129" s="11">
        <f t="shared" si="9"/>
        <v>0</v>
      </c>
      <c r="P129" s="12">
        <f t="shared" si="10"/>
        <v>0</v>
      </c>
      <c r="Q129" s="13">
        <f t="shared" si="11"/>
        <v>0</v>
      </c>
      <c r="V129" s="14">
        <f t="shared" si="7"/>
        <v>0.248046875</v>
      </c>
      <c r="W129" s="10">
        <f t="shared" si="12"/>
        <v>0</v>
      </c>
      <c r="X129" s="11">
        <f t="shared" si="12"/>
        <v>0</v>
      </c>
      <c r="Y129" s="12">
        <f t="shared" si="12"/>
        <v>0</v>
      </c>
      <c r="Z129" s="13">
        <f t="shared" si="12"/>
        <v>0</v>
      </c>
    </row>
    <row r="130" spans="2:26" x14ac:dyDescent="0.25">
      <c r="B130" s="4">
        <v>128</v>
      </c>
      <c r="C130" s="4">
        <f t="array" ref="C130">INDEX(Sheet1!$B$2:$F$22000,SMALL(IF(Sheet1!$A$2:$A$22000=$A$1,ROW(Sheet1!$B$2:$B$22000)),ROW($A128:$F128))-1,2)</f>
        <v>0</v>
      </c>
      <c r="D130" s="4">
        <f t="array" ref="D130">INDEX(Sheet1!$B$2:$F$22000,SMALL(IF(Sheet1!$A$2:$A$22000=$A$1,ROW(Sheet1!$B$2:$B$22000)),ROW($A128:$F128))-1,3)</f>
        <v>0</v>
      </c>
      <c r="E130" s="4">
        <f t="array" ref="E130">INDEX(Sheet1!$B$2:$F$22000,SMALL(IF(Sheet1!$A$2:$A$22000=$A$1,ROW(Sheet1!$B$2:$B$22000)),ROW($A128:$F128))-1,4)</f>
        <v>0</v>
      </c>
      <c r="F130" s="4">
        <f t="array" ref="F130">INDEX(Sheet1!$B$2:$F$22000,SMALL(IF(Sheet1!$A$2:$A$22000=$A$1,ROW(Sheet1!$B$2:$B$22000)),ROW($A128:$F128))-1,5)</f>
        <v>0</v>
      </c>
      <c r="M130" s="9">
        <v>128</v>
      </c>
      <c r="N130" s="10">
        <f t="shared" si="8"/>
        <v>0</v>
      </c>
      <c r="O130" s="11">
        <f t="shared" si="9"/>
        <v>0</v>
      </c>
      <c r="P130" s="12">
        <f t="shared" si="10"/>
        <v>0</v>
      </c>
      <c r="Q130" s="13">
        <f t="shared" si="11"/>
        <v>0</v>
      </c>
      <c r="V130" s="14">
        <f t="shared" ref="V130:V193" si="13">$M130*(1/512)</f>
        <v>0.25</v>
      </c>
      <c r="W130" s="10">
        <f t="shared" si="12"/>
        <v>0</v>
      </c>
      <c r="X130" s="11">
        <f t="shared" si="12"/>
        <v>0</v>
      </c>
      <c r="Y130" s="12">
        <f t="shared" si="12"/>
        <v>0</v>
      </c>
      <c r="Z130" s="13">
        <f t="shared" si="12"/>
        <v>0</v>
      </c>
    </row>
    <row r="131" spans="2:26" x14ac:dyDescent="0.25">
      <c r="B131" s="4">
        <v>129</v>
      </c>
      <c r="C131" s="4">
        <f t="array" ref="C131">INDEX(Sheet1!$B$2:$F$22000,SMALL(IF(Sheet1!$A$2:$A$22000=$A$1,ROW(Sheet1!$B$2:$B$22000)),ROW($A129:$F129))-1,2)</f>
        <v>0</v>
      </c>
      <c r="D131" s="4">
        <f t="array" ref="D131">INDEX(Sheet1!$B$2:$F$22000,SMALL(IF(Sheet1!$A$2:$A$22000=$A$1,ROW(Sheet1!$B$2:$B$22000)),ROW($A129:$F129))-1,3)</f>
        <v>0</v>
      </c>
      <c r="E131" s="4">
        <f t="array" ref="E131">INDEX(Sheet1!$B$2:$F$22000,SMALL(IF(Sheet1!$A$2:$A$22000=$A$1,ROW(Sheet1!$B$2:$B$22000)),ROW($A129:$F129))-1,4)</f>
        <v>0</v>
      </c>
      <c r="F131" s="4">
        <f t="array" ref="F131">INDEX(Sheet1!$B$2:$F$22000,SMALL(IF(Sheet1!$A$2:$A$22000=$A$1,ROW(Sheet1!$B$2:$B$22000)),ROW($A129:$F129))-1,5)</f>
        <v>0</v>
      </c>
      <c r="M131" s="9">
        <v>129</v>
      </c>
      <c r="N131" s="10">
        <f t="shared" si="8"/>
        <v>0</v>
      </c>
      <c r="O131" s="11">
        <f t="shared" si="9"/>
        <v>0</v>
      </c>
      <c r="P131" s="12">
        <f t="shared" si="10"/>
        <v>0</v>
      </c>
      <c r="Q131" s="13">
        <f t="shared" si="11"/>
        <v>0</v>
      </c>
      <c r="V131" s="14">
        <f t="shared" si="13"/>
        <v>0.251953125</v>
      </c>
      <c r="W131" s="10">
        <f t="shared" si="12"/>
        <v>0</v>
      </c>
      <c r="X131" s="11">
        <f t="shared" si="12"/>
        <v>0</v>
      </c>
      <c r="Y131" s="12">
        <f t="shared" si="12"/>
        <v>0</v>
      </c>
      <c r="Z131" s="13">
        <f t="shared" ref="Z131:Z194" si="14">IMABS(U131)</f>
        <v>0</v>
      </c>
    </row>
    <row r="132" spans="2:26" x14ac:dyDescent="0.25">
      <c r="B132" s="4">
        <v>130</v>
      </c>
      <c r="C132" s="4">
        <f t="array" ref="C132">INDEX(Sheet1!$B$2:$F$22000,SMALL(IF(Sheet1!$A$2:$A$22000=$A$1,ROW(Sheet1!$B$2:$B$22000)),ROW($A130:$F130))-1,2)</f>
        <v>0</v>
      </c>
      <c r="D132" s="4">
        <f t="array" ref="D132">INDEX(Sheet1!$B$2:$F$22000,SMALL(IF(Sheet1!$A$2:$A$22000=$A$1,ROW(Sheet1!$B$2:$B$22000)),ROW($A130:$F130))-1,3)</f>
        <v>0</v>
      </c>
      <c r="E132" s="4">
        <f t="array" ref="E132">INDEX(Sheet1!$B$2:$F$22000,SMALL(IF(Sheet1!$A$2:$A$22000=$A$1,ROW(Sheet1!$B$2:$B$22000)),ROW($A130:$F130))-1,4)</f>
        <v>0</v>
      </c>
      <c r="F132" s="4">
        <f t="array" ref="F132">INDEX(Sheet1!$B$2:$F$22000,SMALL(IF(Sheet1!$A$2:$A$22000=$A$1,ROW(Sheet1!$B$2:$B$22000)),ROW($A130:$F130))-1,5)</f>
        <v>0</v>
      </c>
      <c r="M132" s="9">
        <v>130</v>
      </c>
      <c r="N132" s="10">
        <f t="shared" ref="N132:N195" si="15">C132</f>
        <v>0</v>
      </c>
      <c r="O132" s="11">
        <f t="shared" ref="O132:O195" si="16">D132</f>
        <v>0</v>
      </c>
      <c r="P132" s="12">
        <f t="shared" ref="P132:P195" si="17">E132</f>
        <v>0</v>
      </c>
      <c r="Q132" s="13">
        <f t="shared" ref="Q132:Q195" si="18">F132</f>
        <v>0</v>
      </c>
      <c r="V132" s="14">
        <f t="shared" si="13"/>
        <v>0.25390625</v>
      </c>
      <c r="W132" s="10">
        <f t="shared" ref="W132:Z195" si="19">IMABS(R132)</f>
        <v>0</v>
      </c>
      <c r="X132" s="11">
        <f t="shared" si="19"/>
        <v>0</v>
      </c>
      <c r="Y132" s="12">
        <f t="shared" si="19"/>
        <v>0</v>
      </c>
      <c r="Z132" s="13">
        <f t="shared" si="14"/>
        <v>0</v>
      </c>
    </row>
    <row r="133" spans="2:26" x14ac:dyDescent="0.25">
      <c r="B133" s="4">
        <v>131</v>
      </c>
      <c r="C133" s="4">
        <f t="array" ref="C133">INDEX(Sheet1!$B$2:$F$22000,SMALL(IF(Sheet1!$A$2:$A$22000=$A$1,ROW(Sheet1!$B$2:$B$22000)),ROW($A131:$F131))-1,2)</f>
        <v>0</v>
      </c>
      <c r="D133" s="4">
        <f t="array" ref="D133">INDEX(Sheet1!$B$2:$F$22000,SMALL(IF(Sheet1!$A$2:$A$22000=$A$1,ROW(Sheet1!$B$2:$B$22000)),ROW($A131:$F131))-1,3)</f>
        <v>0</v>
      </c>
      <c r="E133" s="4">
        <f t="array" ref="E133">INDEX(Sheet1!$B$2:$F$22000,SMALL(IF(Sheet1!$A$2:$A$22000=$A$1,ROW(Sheet1!$B$2:$B$22000)),ROW($A131:$F131))-1,4)</f>
        <v>0</v>
      </c>
      <c r="F133" s="4">
        <f t="array" ref="F133">INDEX(Sheet1!$B$2:$F$22000,SMALL(IF(Sheet1!$A$2:$A$22000=$A$1,ROW(Sheet1!$B$2:$B$22000)),ROW($A131:$F131))-1,5)</f>
        <v>0</v>
      </c>
      <c r="M133" s="9">
        <v>131</v>
      </c>
      <c r="N133" s="10">
        <f t="shared" si="15"/>
        <v>0</v>
      </c>
      <c r="O133" s="11">
        <f t="shared" si="16"/>
        <v>0</v>
      </c>
      <c r="P133" s="12">
        <f t="shared" si="17"/>
        <v>0</v>
      </c>
      <c r="Q133" s="13">
        <f t="shared" si="18"/>
        <v>0</v>
      </c>
      <c r="V133" s="14">
        <f t="shared" si="13"/>
        <v>0.255859375</v>
      </c>
      <c r="W133" s="10">
        <f t="shared" si="19"/>
        <v>0</v>
      </c>
      <c r="X133" s="11">
        <f t="shared" si="19"/>
        <v>0</v>
      </c>
      <c r="Y133" s="12">
        <f t="shared" si="19"/>
        <v>0</v>
      </c>
      <c r="Z133" s="13">
        <f t="shared" si="14"/>
        <v>0</v>
      </c>
    </row>
    <row r="134" spans="2:26" x14ac:dyDescent="0.25">
      <c r="B134" s="4">
        <v>132</v>
      </c>
      <c r="C134" s="4">
        <f t="array" ref="C134">INDEX(Sheet1!$B$2:$F$22000,SMALL(IF(Sheet1!$A$2:$A$22000=$A$1,ROW(Sheet1!$B$2:$B$22000)),ROW($A132:$F132))-1,2)</f>
        <v>0</v>
      </c>
      <c r="D134" s="4">
        <f t="array" ref="D134">INDEX(Sheet1!$B$2:$F$22000,SMALL(IF(Sheet1!$A$2:$A$22000=$A$1,ROW(Sheet1!$B$2:$B$22000)),ROW($A132:$F132))-1,3)</f>
        <v>0</v>
      </c>
      <c r="E134" s="4">
        <f t="array" ref="E134">INDEX(Sheet1!$B$2:$F$22000,SMALL(IF(Sheet1!$A$2:$A$22000=$A$1,ROW(Sheet1!$B$2:$B$22000)),ROW($A132:$F132))-1,4)</f>
        <v>0</v>
      </c>
      <c r="F134" s="4">
        <f t="array" ref="F134">INDEX(Sheet1!$B$2:$F$22000,SMALL(IF(Sheet1!$A$2:$A$22000=$A$1,ROW(Sheet1!$B$2:$B$22000)),ROW($A132:$F132))-1,5)</f>
        <v>0</v>
      </c>
      <c r="M134" s="9">
        <v>132</v>
      </c>
      <c r="N134" s="10">
        <f t="shared" si="15"/>
        <v>0</v>
      </c>
      <c r="O134" s="11">
        <f t="shared" si="16"/>
        <v>0</v>
      </c>
      <c r="P134" s="12">
        <f t="shared" si="17"/>
        <v>0</v>
      </c>
      <c r="Q134" s="13">
        <f t="shared" si="18"/>
        <v>0</v>
      </c>
      <c r="V134" s="14">
        <f t="shared" si="13"/>
        <v>0.2578125</v>
      </c>
      <c r="W134" s="10">
        <f t="shared" si="19"/>
        <v>0</v>
      </c>
      <c r="X134" s="11">
        <f t="shared" si="19"/>
        <v>0</v>
      </c>
      <c r="Y134" s="12">
        <f t="shared" si="19"/>
        <v>0</v>
      </c>
      <c r="Z134" s="13">
        <f t="shared" si="14"/>
        <v>0</v>
      </c>
    </row>
    <row r="135" spans="2:26" x14ac:dyDescent="0.25">
      <c r="B135" s="4">
        <v>133</v>
      </c>
      <c r="C135" s="4">
        <f t="array" ref="C135">INDEX(Sheet1!$B$2:$F$22000,SMALL(IF(Sheet1!$A$2:$A$22000=$A$1,ROW(Sheet1!$B$2:$B$22000)),ROW($A133:$F133))-1,2)</f>
        <v>0</v>
      </c>
      <c r="D135" s="4">
        <f t="array" ref="D135">INDEX(Sheet1!$B$2:$F$22000,SMALL(IF(Sheet1!$A$2:$A$22000=$A$1,ROW(Sheet1!$B$2:$B$22000)),ROW($A133:$F133))-1,3)</f>
        <v>0</v>
      </c>
      <c r="E135" s="4">
        <f t="array" ref="E135">INDEX(Sheet1!$B$2:$F$22000,SMALL(IF(Sheet1!$A$2:$A$22000=$A$1,ROW(Sheet1!$B$2:$B$22000)),ROW($A133:$F133))-1,4)</f>
        <v>0</v>
      </c>
      <c r="F135" s="4">
        <f t="array" ref="F135">INDEX(Sheet1!$B$2:$F$22000,SMALL(IF(Sheet1!$A$2:$A$22000=$A$1,ROW(Sheet1!$B$2:$B$22000)),ROW($A133:$F133))-1,5)</f>
        <v>0</v>
      </c>
      <c r="M135" s="9">
        <v>133</v>
      </c>
      <c r="N135" s="10">
        <f t="shared" si="15"/>
        <v>0</v>
      </c>
      <c r="O135" s="11">
        <f t="shared" si="16"/>
        <v>0</v>
      </c>
      <c r="P135" s="12">
        <f t="shared" si="17"/>
        <v>0</v>
      </c>
      <c r="Q135" s="13">
        <f t="shared" si="18"/>
        <v>0</v>
      </c>
      <c r="V135" s="14">
        <f t="shared" si="13"/>
        <v>0.259765625</v>
      </c>
      <c r="W135" s="10">
        <f t="shared" si="19"/>
        <v>0</v>
      </c>
      <c r="X135" s="11">
        <f t="shared" si="19"/>
        <v>0</v>
      </c>
      <c r="Y135" s="12">
        <f t="shared" si="19"/>
        <v>0</v>
      </c>
      <c r="Z135" s="13">
        <f t="shared" si="14"/>
        <v>0</v>
      </c>
    </row>
    <row r="136" spans="2:26" x14ac:dyDescent="0.25">
      <c r="B136" s="4">
        <v>134</v>
      </c>
      <c r="C136" s="4">
        <f t="array" ref="C136">INDEX(Sheet1!$B$2:$F$22000,SMALL(IF(Sheet1!$A$2:$A$22000=$A$1,ROW(Sheet1!$B$2:$B$22000)),ROW($A134:$F134))-1,2)</f>
        <v>0</v>
      </c>
      <c r="D136" s="4">
        <f t="array" ref="D136">INDEX(Sheet1!$B$2:$F$22000,SMALL(IF(Sheet1!$A$2:$A$22000=$A$1,ROW(Sheet1!$B$2:$B$22000)),ROW($A134:$F134))-1,3)</f>
        <v>0</v>
      </c>
      <c r="E136" s="4">
        <f t="array" ref="E136">INDEX(Sheet1!$B$2:$F$22000,SMALL(IF(Sheet1!$A$2:$A$22000=$A$1,ROW(Sheet1!$B$2:$B$22000)),ROW($A134:$F134))-1,4)</f>
        <v>0</v>
      </c>
      <c r="F136" s="4">
        <f t="array" ref="F136">INDEX(Sheet1!$B$2:$F$22000,SMALL(IF(Sheet1!$A$2:$A$22000=$A$1,ROW(Sheet1!$B$2:$B$22000)),ROW($A134:$F134))-1,5)</f>
        <v>0</v>
      </c>
      <c r="M136" s="9">
        <v>134</v>
      </c>
      <c r="N136" s="10">
        <f t="shared" si="15"/>
        <v>0</v>
      </c>
      <c r="O136" s="11">
        <f t="shared" si="16"/>
        <v>0</v>
      </c>
      <c r="P136" s="12">
        <f t="shared" si="17"/>
        <v>0</v>
      </c>
      <c r="Q136" s="13">
        <f t="shared" si="18"/>
        <v>0</v>
      </c>
      <c r="V136" s="14">
        <f t="shared" si="13"/>
        <v>0.26171875</v>
      </c>
      <c r="W136" s="10">
        <f t="shared" si="19"/>
        <v>0</v>
      </c>
      <c r="X136" s="11">
        <f t="shared" si="19"/>
        <v>0</v>
      </c>
      <c r="Y136" s="12">
        <f t="shared" si="19"/>
        <v>0</v>
      </c>
      <c r="Z136" s="13">
        <f t="shared" si="14"/>
        <v>0</v>
      </c>
    </row>
    <row r="137" spans="2:26" x14ac:dyDescent="0.25">
      <c r="B137" s="4">
        <v>135</v>
      </c>
      <c r="C137" s="4">
        <f t="array" ref="C137">INDEX(Sheet1!$B$2:$F$22000,SMALL(IF(Sheet1!$A$2:$A$22000=$A$1,ROW(Sheet1!$B$2:$B$22000)),ROW($A135:$F135))-1,2)</f>
        <v>0</v>
      </c>
      <c r="D137" s="4">
        <f t="array" ref="D137">INDEX(Sheet1!$B$2:$F$22000,SMALL(IF(Sheet1!$A$2:$A$22000=$A$1,ROW(Sheet1!$B$2:$B$22000)),ROW($A135:$F135))-1,3)</f>
        <v>0</v>
      </c>
      <c r="E137" s="4">
        <f t="array" ref="E137">INDEX(Sheet1!$B$2:$F$22000,SMALL(IF(Sheet1!$A$2:$A$22000=$A$1,ROW(Sheet1!$B$2:$B$22000)),ROW($A135:$F135))-1,4)</f>
        <v>0</v>
      </c>
      <c r="F137" s="4">
        <f t="array" ref="F137">INDEX(Sheet1!$B$2:$F$22000,SMALL(IF(Sheet1!$A$2:$A$22000=$A$1,ROW(Sheet1!$B$2:$B$22000)),ROW($A135:$F135))-1,5)</f>
        <v>0</v>
      </c>
      <c r="M137" s="9">
        <v>135</v>
      </c>
      <c r="N137" s="10">
        <f t="shared" si="15"/>
        <v>0</v>
      </c>
      <c r="O137" s="11">
        <f t="shared" si="16"/>
        <v>0</v>
      </c>
      <c r="P137" s="12">
        <f t="shared" si="17"/>
        <v>0</v>
      </c>
      <c r="Q137" s="13">
        <f t="shared" si="18"/>
        <v>0</v>
      </c>
      <c r="V137" s="14">
        <f t="shared" si="13"/>
        <v>0.263671875</v>
      </c>
      <c r="W137" s="10">
        <f t="shared" si="19"/>
        <v>0</v>
      </c>
      <c r="X137" s="11">
        <f t="shared" si="19"/>
        <v>0</v>
      </c>
      <c r="Y137" s="12">
        <f t="shared" si="19"/>
        <v>0</v>
      </c>
      <c r="Z137" s="13">
        <f t="shared" si="14"/>
        <v>0</v>
      </c>
    </row>
    <row r="138" spans="2:26" x14ac:dyDescent="0.25">
      <c r="B138" s="4">
        <v>136</v>
      </c>
      <c r="C138" s="4">
        <f t="array" ref="C138">INDEX(Sheet1!$B$2:$F$22000,SMALL(IF(Sheet1!$A$2:$A$22000=$A$1,ROW(Sheet1!$B$2:$B$22000)),ROW($A136:$F136))-1,2)</f>
        <v>0</v>
      </c>
      <c r="D138" s="4">
        <f t="array" ref="D138">INDEX(Sheet1!$B$2:$F$22000,SMALL(IF(Sheet1!$A$2:$A$22000=$A$1,ROW(Sheet1!$B$2:$B$22000)),ROW($A136:$F136))-1,3)</f>
        <v>0</v>
      </c>
      <c r="E138" s="4">
        <f t="array" ref="E138">INDEX(Sheet1!$B$2:$F$22000,SMALL(IF(Sheet1!$A$2:$A$22000=$A$1,ROW(Sheet1!$B$2:$B$22000)),ROW($A136:$F136))-1,4)</f>
        <v>0</v>
      </c>
      <c r="F138" s="4">
        <f t="array" ref="F138">INDEX(Sheet1!$B$2:$F$22000,SMALL(IF(Sheet1!$A$2:$A$22000=$A$1,ROW(Sheet1!$B$2:$B$22000)),ROW($A136:$F136))-1,5)</f>
        <v>0</v>
      </c>
      <c r="M138" s="9">
        <v>136</v>
      </c>
      <c r="N138" s="10">
        <f t="shared" si="15"/>
        <v>0</v>
      </c>
      <c r="O138" s="11">
        <f t="shared" si="16"/>
        <v>0</v>
      </c>
      <c r="P138" s="12">
        <f t="shared" si="17"/>
        <v>0</v>
      </c>
      <c r="Q138" s="13">
        <f t="shared" si="18"/>
        <v>0</v>
      </c>
      <c r="V138" s="14">
        <f t="shared" si="13"/>
        <v>0.265625</v>
      </c>
      <c r="W138" s="10">
        <f t="shared" si="19"/>
        <v>0</v>
      </c>
      <c r="X138" s="11">
        <f t="shared" si="19"/>
        <v>0</v>
      </c>
      <c r="Y138" s="12">
        <f t="shared" si="19"/>
        <v>0</v>
      </c>
      <c r="Z138" s="13">
        <f t="shared" si="14"/>
        <v>0</v>
      </c>
    </row>
    <row r="139" spans="2:26" x14ac:dyDescent="0.25">
      <c r="B139" s="4">
        <v>137</v>
      </c>
      <c r="C139" s="4">
        <f t="array" ref="C139">INDEX(Sheet1!$B$2:$F$22000,SMALL(IF(Sheet1!$A$2:$A$22000=$A$1,ROW(Sheet1!$B$2:$B$22000)),ROW($A137:$F137))-1,2)</f>
        <v>0</v>
      </c>
      <c r="D139" s="4">
        <f t="array" ref="D139">INDEX(Sheet1!$B$2:$F$22000,SMALL(IF(Sheet1!$A$2:$A$22000=$A$1,ROW(Sheet1!$B$2:$B$22000)),ROW($A137:$F137))-1,3)</f>
        <v>0</v>
      </c>
      <c r="E139" s="4">
        <f t="array" ref="E139">INDEX(Sheet1!$B$2:$F$22000,SMALL(IF(Sheet1!$A$2:$A$22000=$A$1,ROW(Sheet1!$B$2:$B$22000)),ROW($A137:$F137))-1,4)</f>
        <v>0</v>
      </c>
      <c r="F139" s="4">
        <f t="array" ref="F139">INDEX(Sheet1!$B$2:$F$22000,SMALL(IF(Sheet1!$A$2:$A$22000=$A$1,ROW(Sheet1!$B$2:$B$22000)),ROW($A137:$F137))-1,5)</f>
        <v>0</v>
      </c>
      <c r="M139" s="9">
        <v>137</v>
      </c>
      <c r="N139" s="10">
        <f t="shared" si="15"/>
        <v>0</v>
      </c>
      <c r="O139" s="11">
        <f t="shared" si="16"/>
        <v>0</v>
      </c>
      <c r="P139" s="12">
        <f t="shared" si="17"/>
        <v>0</v>
      </c>
      <c r="Q139" s="13">
        <f t="shared" si="18"/>
        <v>0</v>
      </c>
      <c r="V139" s="14">
        <f t="shared" si="13"/>
        <v>0.267578125</v>
      </c>
      <c r="W139" s="10">
        <f t="shared" si="19"/>
        <v>0</v>
      </c>
      <c r="X139" s="11">
        <f t="shared" si="19"/>
        <v>0</v>
      </c>
      <c r="Y139" s="12">
        <f t="shared" si="19"/>
        <v>0</v>
      </c>
      <c r="Z139" s="13">
        <f t="shared" si="14"/>
        <v>0</v>
      </c>
    </row>
    <row r="140" spans="2:26" x14ac:dyDescent="0.25">
      <c r="B140" s="4">
        <v>138</v>
      </c>
      <c r="C140" s="4">
        <f t="array" ref="C140">INDEX(Sheet1!$B$2:$F$22000,SMALL(IF(Sheet1!$A$2:$A$22000=$A$1,ROW(Sheet1!$B$2:$B$22000)),ROW($A138:$F138))-1,2)</f>
        <v>0</v>
      </c>
      <c r="D140" s="4">
        <f t="array" ref="D140">INDEX(Sheet1!$B$2:$F$22000,SMALL(IF(Sheet1!$A$2:$A$22000=$A$1,ROW(Sheet1!$B$2:$B$22000)),ROW($A138:$F138))-1,3)</f>
        <v>0</v>
      </c>
      <c r="E140" s="4">
        <f t="array" ref="E140">INDEX(Sheet1!$B$2:$F$22000,SMALL(IF(Sheet1!$A$2:$A$22000=$A$1,ROW(Sheet1!$B$2:$B$22000)),ROW($A138:$F138))-1,4)</f>
        <v>0</v>
      </c>
      <c r="F140" s="4">
        <f t="array" ref="F140">INDEX(Sheet1!$B$2:$F$22000,SMALL(IF(Sheet1!$A$2:$A$22000=$A$1,ROW(Sheet1!$B$2:$B$22000)),ROW($A138:$F138))-1,5)</f>
        <v>0</v>
      </c>
      <c r="M140" s="9">
        <v>138</v>
      </c>
      <c r="N140" s="10">
        <f t="shared" si="15"/>
        <v>0</v>
      </c>
      <c r="O140" s="11">
        <f t="shared" si="16"/>
        <v>0</v>
      </c>
      <c r="P140" s="12">
        <f t="shared" si="17"/>
        <v>0</v>
      </c>
      <c r="Q140" s="13">
        <f t="shared" si="18"/>
        <v>0</v>
      </c>
      <c r="V140" s="14">
        <f t="shared" si="13"/>
        <v>0.26953125</v>
      </c>
      <c r="W140" s="10">
        <f t="shared" si="19"/>
        <v>0</v>
      </c>
      <c r="X140" s="11">
        <f t="shared" si="19"/>
        <v>0</v>
      </c>
      <c r="Y140" s="12">
        <f t="shared" si="19"/>
        <v>0</v>
      </c>
      <c r="Z140" s="13">
        <f t="shared" si="14"/>
        <v>0</v>
      </c>
    </row>
    <row r="141" spans="2:26" x14ac:dyDescent="0.25">
      <c r="B141" s="4">
        <v>139</v>
      </c>
      <c r="C141" s="4">
        <f t="array" ref="C141">INDEX(Sheet1!$B$2:$F$22000,SMALL(IF(Sheet1!$A$2:$A$22000=$A$1,ROW(Sheet1!$B$2:$B$22000)),ROW($A139:$F139))-1,2)</f>
        <v>0</v>
      </c>
      <c r="D141" s="4">
        <f t="array" ref="D141">INDEX(Sheet1!$B$2:$F$22000,SMALL(IF(Sheet1!$A$2:$A$22000=$A$1,ROW(Sheet1!$B$2:$B$22000)),ROW($A139:$F139))-1,3)</f>
        <v>0</v>
      </c>
      <c r="E141" s="4">
        <f t="array" ref="E141">INDEX(Sheet1!$B$2:$F$22000,SMALL(IF(Sheet1!$A$2:$A$22000=$A$1,ROW(Sheet1!$B$2:$B$22000)),ROW($A139:$F139))-1,4)</f>
        <v>0</v>
      </c>
      <c r="F141" s="4">
        <f t="array" ref="F141">INDEX(Sheet1!$B$2:$F$22000,SMALL(IF(Sheet1!$A$2:$A$22000=$A$1,ROW(Sheet1!$B$2:$B$22000)),ROW($A139:$F139))-1,5)</f>
        <v>0</v>
      </c>
      <c r="M141" s="9">
        <v>139</v>
      </c>
      <c r="N141" s="10">
        <f t="shared" si="15"/>
        <v>0</v>
      </c>
      <c r="O141" s="11">
        <f t="shared" si="16"/>
        <v>0</v>
      </c>
      <c r="P141" s="12">
        <f t="shared" si="17"/>
        <v>0</v>
      </c>
      <c r="Q141" s="13">
        <f t="shared" si="18"/>
        <v>0</v>
      </c>
      <c r="V141" s="14">
        <f t="shared" si="13"/>
        <v>0.271484375</v>
      </c>
      <c r="W141" s="10">
        <f t="shared" si="19"/>
        <v>0</v>
      </c>
      <c r="X141" s="11">
        <f t="shared" si="19"/>
        <v>0</v>
      </c>
      <c r="Y141" s="12">
        <f t="shared" si="19"/>
        <v>0</v>
      </c>
      <c r="Z141" s="13">
        <f t="shared" si="14"/>
        <v>0</v>
      </c>
    </row>
    <row r="142" spans="2:26" x14ac:dyDescent="0.25">
      <c r="B142" s="4">
        <v>140</v>
      </c>
      <c r="C142" s="4">
        <f t="array" ref="C142">INDEX(Sheet1!$B$2:$F$22000,SMALL(IF(Sheet1!$A$2:$A$22000=$A$1,ROW(Sheet1!$B$2:$B$22000)),ROW($A140:$F140))-1,2)</f>
        <v>0</v>
      </c>
      <c r="D142" s="4">
        <f t="array" ref="D142">INDEX(Sheet1!$B$2:$F$22000,SMALL(IF(Sheet1!$A$2:$A$22000=$A$1,ROW(Sheet1!$B$2:$B$22000)),ROW($A140:$F140))-1,3)</f>
        <v>0</v>
      </c>
      <c r="E142" s="4">
        <f t="array" ref="E142">INDEX(Sheet1!$B$2:$F$22000,SMALL(IF(Sheet1!$A$2:$A$22000=$A$1,ROW(Sheet1!$B$2:$B$22000)),ROW($A140:$F140))-1,4)</f>
        <v>0</v>
      </c>
      <c r="F142" s="4">
        <f t="array" ref="F142">INDEX(Sheet1!$B$2:$F$22000,SMALL(IF(Sheet1!$A$2:$A$22000=$A$1,ROW(Sheet1!$B$2:$B$22000)),ROW($A140:$F140))-1,5)</f>
        <v>0</v>
      </c>
      <c r="M142" s="9">
        <v>140</v>
      </c>
      <c r="N142" s="10">
        <f t="shared" si="15"/>
        <v>0</v>
      </c>
      <c r="O142" s="11">
        <f t="shared" si="16"/>
        <v>0</v>
      </c>
      <c r="P142" s="12">
        <f t="shared" si="17"/>
        <v>0</v>
      </c>
      <c r="Q142" s="13">
        <f t="shared" si="18"/>
        <v>0</v>
      </c>
      <c r="V142" s="14">
        <f t="shared" si="13"/>
        <v>0.2734375</v>
      </c>
      <c r="W142" s="10">
        <f t="shared" si="19"/>
        <v>0</v>
      </c>
      <c r="X142" s="11">
        <f t="shared" si="19"/>
        <v>0</v>
      </c>
      <c r="Y142" s="12">
        <f t="shared" si="19"/>
        <v>0</v>
      </c>
      <c r="Z142" s="13">
        <f t="shared" si="14"/>
        <v>0</v>
      </c>
    </row>
    <row r="143" spans="2:26" x14ac:dyDescent="0.25">
      <c r="B143" s="4">
        <v>141</v>
      </c>
      <c r="C143" s="4">
        <f t="array" ref="C143">INDEX(Sheet1!$B$2:$F$22000,SMALL(IF(Sheet1!$A$2:$A$22000=$A$1,ROW(Sheet1!$B$2:$B$22000)),ROW($A141:$F141))-1,2)</f>
        <v>0</v>
      </c>
      <c r="D143" s="4">
        <f t="array" ref="D143">INDEX(Sheet1!$B$2:$F$22000,SMALL(IF(Sheet1!$A$2:$A$22000=$A$1,ROW(Sheet1!$B$2:$B$22000)),ROW($A141:$F141))-1,3)</f>
        <v>0</v>
      </c>
      <c r="E143" s="4">
        <f t="array" ref="E143">INDEX(Sheet1!$B$2:$F$22000,SMALL(IF(Sheet1!$A$2:$A$22000=$A$1,ROW(Sheet1!$B$2:$B$22000)),ROW($A141:$F141))-1,4)</f>
        <v>0</v>
      </c>
      <c r="F143" s="4">
        <f t="array" ref="F143">INDEX(Sheet1!$B$2:$F$22000,SMALL(IF(Sheet1!$A$2:$A$22000=$A$1,ROW(Sheet1!$B$2:$B$22000)),ROW($A141:$F141))-1,5)</f>
        <v>0</v>
      </c>
      <c r="M143" s="9">
        <v>141</v>
      </c>
      <c r="N143" s="10">
        <f t="shared" si="15"/>
        <v>0</v>
      </c>
      <c r="O143" s="11">
        <f t="shared" si="16"/>
        <v>0</v>
      </c>
      <c r="P143" s="12">
        <f t="shared" si="17"/>
        <v>0</v>
      </c>
      <c r="Q143" s="13">
        <f t="shared" si="18"/>
        <v>0</v>
      </c>
      <c r="V143" s="14">
        <f t="shared" si="13"/>
        <v>0.275390625</v>
      </c>
      <c r="W143" s="10">
        <f t="shared" si="19"/>
        <v>0</v>
      </c>
      <c r="X143" s="11">
        <f t="shared" si="19"/>
        <v>0</v>
      </c>
      <c r="Y143" s="12">
        <f t="shared" si="19"/>
        <v>0</v>
      </c>
      <c r="Z143" s="13">
        <f t="shared" si="14"/>
        <v>0</v>
      </c>
    </row>
    <row r="144" spans="2:26" x14ac:dyDescent="0.25">
      <c r="B144" s="4">
        <v>142</v>
      </c>
      <c r="C144" s="4">
        <f t="array" ref="C144">INDEX(Sheet1!$B$2:$F$22000,SMALL(IF(Sheet1!$A$2:$A$22000=$A$1,ROW(Sheet1!$B$2:$B$22000)),ROW($A142:$F142))-1,2)</f>
        <v>0</v>
      </c>
      <c r="D144" s="4">
        <f t="array" ref="D144">INDEX(Sheet1!$B$2:$F$22000,SMALL(IF(Sheet1!$A$2:$A$22000=$A$1,ROW(Sheet1!$B$2:$B$22000)),ROW($A142:$F142))-1,3)</f>
        <v>0</v>
      </c>
      <c r="E144" s="4">
        <f t="array" ref="E144">INDEX(Sheet1!$B$2:$F$22000,SMALL(IF(Sheet1!$A$2:$A$22000=$A$1,ROW(Sheet1!$B$2:$B$22000)),ROW($A142:$F142))-1,4)</f>
        <v>0</v>
      </c>
      <c r="F144" s="4">
        <f t="array" ref="F144">INDEX(Sheet1!$B$2:$F$22000,SMALL(IF(Sheet1!$A$2:$A$22000=$A$1,ROW(Sheet1!$B$2:$B$22000)),ROW($A142:$F142))-1,5)</f>
        <v>0</v>
      </c>
      <c r="M144" s="9">
        <v>142</v>
      </c>
      <c r="N144" s="10">
        <f t="shared" si="15"/>
        <v>0</v>
      </c>
      <c r="O144" s="11">
        <f t="shared" si="16"/>
        <v>0</v>
      </c>
      <c r="P144" s="12">
        <f t="shared" si="17"/>
        <v>0</v>
      </c>
      <c r="Q144" s="13">
        <f t="shared" si="18"/>
        <v>0</v>
      </c>
      <c r="V144" s="14">
        <f t="shared" si="13"/>
        <v>0.27734375</v>
      </c>
      <c r="W144" s="10">
        <f t="shared" si="19"/>
        <v>0</v>
      </c>
      <c r="X144" s="11">
        <f t="shared" si="19"/>
        <v>0</v>
      </c>
      <c r="Y144" s="12">
        <f t="shared" si="19"/>
        <v>0</v>
      </c>
      <c r="Z144" s="13">
        <f t="shared" si="14"/>
        <v>0</v>
      </c>
    </row>
    <row r="145" spans="2:26" x14ac:dyDescent="0.25">
      <c r="B145" s="4">
        <v>143</v>
      </c>
      <c r="C145" s="4">
        <f t="array" ref="C145">INDEX(Sheet1!$B$2:$F$22000,SMALL(IF(Sheet1!$A$2:$A$22000=$A$1,ROW(Sheet1!$B$2:$B$22000)),ROW($A143:$F143))-1,2)</f>
        <v>0</v>
      </c>
      <c r="D145" s="4">
        <f t="array" ref="D145">INDEX(Sheet1!$B$2:$F$22000,SMALL(IF(Sheet1!$A$2:$A$22000=$A$1,ROW(Sheet1!$B$2:$B$22000)),ROW($A143:$F143))-1,3)</f>
        <v>0</v>
      </c>
      <c r="E145" s="4">
        <f t="array" ref="E145">INDEX(Sheet1!$B$2:$F$22000,SMALL(IF(Sheet1!$A$2:$A$22000=$A$1,ROW(Sheet1!$B$2:$B$22000)),ROW($A143:$F143))-1,4)</f>
        <v>0</v>
      </c>
      <c r="F145" s="4">
        <f t="array" ref="F145">INDEX(Sheet1!$B$2:$F$22000,SMALL(IF(Sheet1!$A$2:$A$22000=$A$1,ROW(Sheet1!$B$2:$B$22000)),ROW($A143:$F143))-1,5)</f>
        <v>0</v>
      </c>
      <c r="M145" s="9">
        <v>143</v>
      </c>
      <c r="N145" s="10">
        <f t="shared" si="15"/>
        <v>0</v>
      </c>
      <c r="O145" s="11">
        <f t="shared" si="16"/>
        <v>0</v>
      </c>
      <c r="P145" s="12">
        <f t="shared" si="17"/>
        <v>0</v>
      </c>
      <c r="Q145" s="13">
        <f t="shared" si="18"/>
        <v>0</v>
      </c>
      <c r="V145" s="14">
        <f t="shared" si="13"/>
        <v>0.279296875</v>
      </c>
      <c r="W145" s="10">
        <f t="shared" si="19"/>
        <v>0</v>
      </c>
      <c r="X145" s="11">
        <f t="shared" si="19"/>
        <v>0</v>
      </c>
      <c r="Y145" s="12">
        <f t="shared" si="19"/>
        <v>0</v>
      </c>
      <c r="Z145" s="13">
        <f t="shared" si="14"/>
        <v>0</v>
      </c>
    </row>
    <row r="146" spans="2:26" x14ac:dyDescent="0.25">
      <c r="B146" s="4">
        <v>144</v>
      </c>
      <c r="C146" s="4">
        <f t="array" ref="C146">INDEX(Sheet1!$B$2:$F$22000,SMALL(IF(Sheet1!$A$2:$A$22000=$A$1,ROW(Sheet1!$B$2:$B$22000)),ROW($A144:$F144))-1,2)</f>
        <v>0</v>
      </c>
      <c r="D146" s="4">
        <f t="array" ref="D146">INDEX(Sheet1!$B$2:$F$22000,SMALL(IF(Sheet1!$A$2:$A$22000=$A$1,ROW(Sheet1!$B$2:$B$22000)),ROW($A144:$F144))-1,3)</f>
        <v>0</v>
      </c>
      <c r="E146" s="4">
        <f t="array" ref="E146">INDEX(Sheet1!$B$2:$F$22000,SMALL(IF(Sheet1!$A$2:$A$22000=$A$1,ROW(Sheet1!$B$2:$B$22000)),ROW($A144:$F144))-1,4)</f>
        <v>0</v>
      </c>
      <c r="F146" s="4">
        <f t="array" ref="F146">INDEX(Sheet1!$B$2:$F$22000,SMALL(IF(Sheet1!$A$2:$A$22000=$A$1,ROW(Sheet1!$B$2:$B$22000)),ROW($A144:$F144))-1,5)</f>
        <v>0</v>
      </c>
      <c r="M146" s="9">
        <v>144</v>
      </c>
      <c r="N146" s="10">
        <f t="shared" si="15"/>
        <v>0</v>
      </c>
      <c r="O146" s="11">
        <f t="shared" si="16"/>
        <v>0</v>
      </c>
      <c r="P146" s="12">
        <f t="shared" si="17"/>
        <v>0</v>
      </c>
      <c r="Q146" s="13">
        <f t="shared" si="18"/>
        <v>0</v>
      </c>
      <c r="V146" s="14">
        <f t="shared" si="13"/>
        <v>0.28125</v>
      </c>
      <c r="W146" s="10">
        <f t="shared" si="19"/>
        <v>0</v>
      </c>
      <c r="X146" s="11">
        <f t="shared" si="19"/>
        <v>0</v>
      </c>
      <c r="Y146" s="12">
        <f t="shared" si="19"/>
        <v>0</v>
      </c>
      <c r="Z146" s="13">
        <f t="shared" si="14"/>
        <v>0</v>
      </c>
    </row>
    <row r="147" spans="2:26" x14ac:dyDescent="0.25">
      <c r="B147" s="4">
        <v>145</v>
      </c>
      <c r="C147" s="4">
        <f t="array" ref="C147">INDEX(Sheet1!$B$2:$F$22000,SMALL(IF(Sheet1!$A$2:$A$22000=$A$1,ROW(Sheet1!$B$2:$B$22000)),ROW($A145:$F145))-1,2)</f>
        <v>0</v>
      </c>
      <c r="D147" s="4">
        <f t="array" ref="D147">INDEX(Sheet1!$B$2:$F$22000,SMALL(IF(Sheet1!$A$2:$A$22000=$A$1,ROW(Sheet1!$B$2:$B$22000)),ROW($A145:$F145))-1,3)</f>
        <v>0</v>
      </c>
      <c r="E147" s="4">
        <f t="array" ref="E147">INDEX(Sheet1!$B$2:$F$22000,SMALL(IF(Sheet1!$A$2:$A$22000=$A$1,ROW(Sheet1!$B$2:$B$22000)),ROW($A145:$F145))-1,4)</f>
        <v>0</v>
      </c>
      <c r="F147" s="4">
        <f t="array" ref="F147">INDEX(Sheet1!$B$2:$F$22000,SMALL(IF(Sheet1!$A$2:$A$22000=$A$1,ROW(Sheet1!$B$2:$B$22000)),ROW($A145:$F145))-1,5)</f>
        <v>0</v>
      </c>
      <c r="M147" s="9">
        <v>145</v>
      </c>
      <c r="N147" s="10">
        <f t="shared" si="15"/>
        <v>0</v>
      </c>
      <c r="O147" s="11">
        <f t="shared" si="16"/>
        <v>0</v>
      </c>
      <c r="P147" s="12">
        <f t="shared" si="17"/>
        <v>0</v>
      </c>
      <c r="Q147" s="13">
        <f t="shared" si="18"/>
        <v>0</v>
      </c>
      <c r="V147" s="14">
        <f t="shared" si="13"/>
        <v>0.283203125</v>
      </c>
      <c r="W147" s="10">
        <f t="shared" si="19"/>
        <v>0</v>
      </c>
      <c r="X147" s="11">
        <f t="shared" si="19"/>
        <v>0</v>
      </c>
      <c r="Y147" s="12">
        <f t="shared" si="19"/>
        <v>0</v>
      </c>
      <c r="Z147" s="13">
        <f t="shared" si="14"/>
        <v>0</v>
      </c>
    </row>
    <row r="148" spans="2:26" x14ac:dyDescent="0.25">
      <c r="B148" s="4">
        <v>146</v>
      </c>
      <c r="C148" s="4">
        <f t="array" ref="C148">INDEX(Sheet1!$B$2:$F$22000,SMALL(IF(Sheet1!$A$2:$A$22000=$A$1,ROW(Sheet1!$B$2:$B$22000)),ROW($A146:$F146))-1,2)</f>
        <v>0</v>
      </c>
      <c r="D148" s="4">
        <f t="array" ref="D148">INDEX(Sheet1!$B$2:$F$22000,SMALL(IF(Sheet1!$A$2:$A$22000=$A$1,ROW(Sheet1!$B$2:$B$22000)),ROW($A146:$F146))-1,3)</f>
        <v>0</v>
      </c>
      <c r="E148" s="4">
        <f t="array" ref="E148">INDEX(Sheet1!$B$2:$F$22000,SMALL(IF(Sheet1!$A$2:$A$22000=$A$1,ROW(Sheet1!$B$2:$B$22000)),ROW($A146:$F146))-1,4)</f>
        <v>0</v>
      </c>
      <c r="F148" s="4">
        <f t="array" ref="F148">INDEX(Sheet1!$B$2:$F$22000,SMALL(IF(Sheet1!$A$2:$A$22000=$A$1,ROW(Sheet1!$B$2:$B$22000)),ROW($A146:$F146))-1,5)</f>
        <v>0</v>
      </c>
      <c r="M148" s="9">
        <v>146</v>
      </c>
      <c r="N148" s="10">
        <f t="shared" si="15"/>
        <v>0</v>
      </c>
      <c r="O148" s="11">
        <f t="shared" si="16"/>
        <v>0</v>
      </c>
      <c r="P148" s="12">
        <f t="shared" si="17"/>
        <v>0</v>
      </c>
      <c r="Q148" s="13">
        <f t="shared" si="18"/>
        <v>0</v>
      </c>
      <c r="V148" s="14">
        <f t="shared" si="13"/>
        <v>0.28515625</v>
      </c>
      <c r="W148" s="10">
        <f t="shared" si="19"/>
        <v>0</v>
      </c>
      <c r="X148" s="11">
        <f t="shared" si="19"/>
        <v>0</v>
      </c>
      <c r="Y148" s="12">
        <f t="shared" si="19"/>
        <v>0</v>
      </c>
      <c r="Z148" s="13">
        <f t="shared" si="14"/>
        <v>0</v>
      </c>
    </row>
    <row r="149" spans="2:26" x14ac:dyDescent="0.25">
      <c r="B149" s="4">
        <v>147</v>
      </c>
      <c r="C149" s="4">
        <f t="array" ref="C149">INDEX(Sheet1!$B$2:$F$22000,SMALL(IF(Sheet1!$A$2:$A$22000=$A$1,ROW(Sheet1!$B$2:$B$22000)),ROW($A147:$F147))-1,2)</f>
        <v>0</v>
      </c>
      <c r="D149" s="4">
        <f t="array" ref="D149">INDEX(Sheet1!$B$2:$F$22000,SMALL(IF(Sheet1!$A$2:$A$22000=$A$1,ROW(Sheet1!$B$2:$B$22000)),ROW($A147:$F147))-1,3)</f>
        <v>0</v>
      </c>
      <c r="E149" s="4">
        <f t="array" ref="E149">INDEX(Sheet1!$B$2:$F$22000,SMALL(IF(Sheet1!$A$2:$A$22000=$A$1,ROW(Sheet1!$B$2:$B$22000)),ROW($A147:$F147))-1,4)</f>
        <v>0</v>
      </c>
      <c r="F149" s="4">
        <f t="array" ref="F149">INDEX(Sheet1!$B$2:$F$22000,SMALL(IF(Sheet1!$A$2:$A$22000=$A$1,ROW(Sheet1!$B$2:$B$22000)),ROW($A147:$F147))-1,5)</f>
        <v>0</v>
      </c>
      <c r="M149" s="9">
        <v>147</v>
      </c>
      <c r="N149" s="10">
        <f t="shared" si="15"/>
        <v>0</v>
      </c>
      <c r="O149" s="11">
        <f t="shared" si="16"/>
        <v>0</v>
      </c>
      <c r="P149" s="12">
        <f t="shared" si="17"/>
        <v>0</v>
      </c>
      <c r="Q149" s="13">
        <f t="shared" si="18"/>
        <v>0</v>
      </c>
      <c r="V149" s="14">
        <f t="shared" si="13"/>
        <v>0.287109375</v>
      </c>
      <c r="W149" s="10">
        <f t="shared" si="19"/>
        <v>0</v>
      </c>
      <c r="X149" s="11">
        <f t="shared" si="19"/>
        <v>0</v>
      </c>
      <c r="Y149" s="12">
        <f t="shared" si="19"/>
        <v>0</v>
      </c>
      <c r="Z149" s="13">
        <f t="shared" si="14"/>
        <v>0</v>
      </c>
    </row>
    <row r="150" spans="2:26" x14ac:dyDescent="0.25">
      <c r="B150" s="4">
        <v>148</v>
      </c>
      <c r="C150" s="4">
        <f t="array" ref="C150">INDEX(Sheet1!$B$2:$F$22000,SMALL(IF(Sheet1!$A$2:$A$22000=$A$1,ROW(Sheet1!$B$2:$B$22000)),ROW($A148:$F148))-1,2)</f>
        <v>0</v>
      </c>
      <c r="D150" s="4">
        <f t="array" ref="D150">INDEX(Sheet1!$B$2:$F$22000,SMALL(IF(Sheet1!$A$2:$A$22000=$A$1,ROW(Sheet1!$B$2:$B$22000)),ROW($A148:$F148))-1,3)</f>
        <v>0</v>
      </c>
      <c r="E150" s="4">
        <f t="array" ref="E150">INDEX(Sheet1!$B$2:$F$22000,SMALL(IF(Sheet1!$A$2:$A$22000=$A$1,ROW(Sheet1!$B$2:$B$22000)),ROW($A148:$F148))-1,4)</f>
        <v>0</v>
      </c>
      <c r="F150" s="4">
        <f t="array" ref="F150">INDEX(Sheet1!$B$2:$F$22000,SMALL(IF(Sheet1!$A$2:$A$22000=$A$1,ROW(Sheet1!$B$2:$B$22000)),ROW($A148:$F148))-1,5)</f>
        <v>0</v>
      </c>
      <c r="M150" s="9">
        <v>148</v>
      </c>
      <c r="N150" s="10">
        <f t="shared" si="15"/>
        <v>0</v>
      </c>
      <c r="O150" s="11">
        <f t="shared" si="16"/>
        <v>0</v>
      </c>
      <c r="P150" s="12">
        <f t="shared" si="17"/>
        <v>0</v>
      </c>
      <c r="Q150" s="13">
        <f t="shared" si="18"/>
        <v>0</v>
      </c>
      <c r="V150" s="14">
        <f t="shared" si="13"/>
        <v>0.2890625</v>
      </c>
      <c r="W150" s="10">
        <f t="shared" si="19"/>
        <v>0</v>
      </c>
      <c r="X150" s="11">
        <f t="shared" si="19"/>
        <v>0</v>
      </c>
      <c r="Y150" s="12">
        <f t="shared" si="19"/>
        <v>0</v>
      </c>
      <c r="Z150" s="13">
        <f t="shared" si="14"/>
        <v>0</v>
      </c>
    </row>
    <row r="151" spans="2:26" x14ac:dyDescent="0.25">
      <c r="B151" s="4">
        <v>149</v>
      </c>
      <c r="C151" s="4">
        <f t="array" ref="C151">INDEX(Sheet1!$B$2:$F$22000,SMALL(IF(Sheet1!$A$2:$A$22000=$A$1,ROW(Sheet1!$B$2:$B$22000)),ROW($A149:$F149))-1,2)</f>
        <v>0</v>
      </c>
      <c r="D151" s="4">
        <f t="array" ref="D151">INDEX(Sheet1!$B$2:$F$22000,SMALL(IF(Sheet1!$A$2:$A$22000=$A$1,ROW(Sheet1!$B$2:$B$22000)),ROW($A149:$F149))-1,3)</f>
        <v>0</v>
      </c>
      <c r="E151" s="4">
        <f t="array" ref="E151">INDEX(Sheet1!$B$2:$F$22000,SMALL(IF(Sheet1!$A$2:$A$22000=$A$1,ROW(Sheet1!$B$2:$B$22000)),ROW($A149:$F149))-1,4)</f>
        <v>0</v>
      </c>
      <c r="F151" s="4">
        <f t="array" ref="F151">INDEX(Sheet1!$B$2:$F$22000,SMALL(IF(Sheet1!$A$2:$A$22000=$A$1,ROW(Sheet1!$B$2:$B$22000)),ROW($A149:$F149))-1,5)</f>
        <v>0</v>
      </c>
      <c r="M151" s="9">
        <v>149</v>
      </c>
      <c r="N151" s="10">
        <f t="shared" si="15"/>
        <v>0</v>
      </c>
      <c r="O151" s="11">
        <f t="shared" si="16"/>
        <v>0</v>
      </c>
      <c r="P151" s="12">
        <f t="shared" si="17"/>
        <v>0</v>
      </c>
      <c r="Q151" s="13">
        <f t="shared" si="18"/>
        <v>0</v>
      </c>
      <c r="V151" s="14">
        <f t="shared" si="13"/>
        <v>0.291015625</v>
      </c>
      <c r="W151" s="10">
        <f t="shared" si="19"/>
        <v>0</v>
      </c>
      <c r="X151" s="11">
        <f t="shared" si="19"/>
        <v>0</v>
      </c>
      <c r="Y151" s="12">
        <f t="shared" si="19"/>
        <v>0</v>
      </c>
      <c r="Z151" s="13">
        <f t="shared" si="14"/>
        <v>0</v>
      </c>
    </row>
    <row r="152" spans="2:26" x14ac:dyDescent="0.25">
      <c r="B152" s="4">
        <v>150</v>
      </c>
      <c r="C152" s="4">
        <f t="array" ref="C152">INDEX(Sheet1!$B$2:$F$22000,SMALL(IF(Sheet1!$A$2:$A$22000=$A$1,ROW(Sheet1!$B$2:$B$22000)),ROW($A150:$F150))-1,2)</f>
        <v>0</v>
      </c>
      <c r="D152" s="4">
        <f t="array" ref="D152">INDEX(Sheet1!$B$2:$F$22000,SMALL(IF(Sheet1!$A$2:$A$22000=$A$1,ROW(Sheet1!$B$2:$B$22000)),ROW($A150:$F150))-1,3)</f>
        <v>0</v>
      </c>
      <c r="E152" s="4">
        <f t="array" ref="E152">INDEX(Sheet1!$B$2:$F$22000,SMALL(IF(Sheet1!$A$2:$A$22000=$A$1,ROW(Sheet1!$B$2:$B$22000)),ROW($A150:$F150))-1,4)</f>
        <v>0</v>
      </c>
      <c r="F152" s="4">
        <f t="array" ref="F152">INDEX(Sheet1!$B$2:$F$22000,SMALL(IF(Sheet1!$A$2:$A$22000=$A$1,ROW(Sheet1!$B$2:$B$22000)),ROW($A150:$F150))-1,5)</f>
        <v>0</v>
      </c>
      <c r="M152" s="9">
        <v>150</v>
      </c>
      <c r="N152" s="10">
        <f t="shared" si="15"/>
        <v>0</v>
      </c>
      <c r="O152" s="11">
        <f t="shared" si="16"/>
        <v>0</v>
      </c>
      <c r="P152" s="12">
        <f t="shared" si="17"/>
        <v>0</v>
      </c>
      <c r="Q152" s="13">
        <f t="shared" si="18"/>
        <v>0</v>
      </c>
      <c r="V152" s="14">
        <f t="shared" si="13"/>
        <v>0.29296875</v>
      </c>
      <c r="W152" s="10">
        <f t="shared" si="19"/>
        <v>0</v>
      </c>
      <c r="X152" s="11">
        <f t="shared" si="19"/>
        <v>0</v>
      </c>
      <c r="Y152" s="12">
        <f t="shared" si="19"/>
        <v>0</v>
      </c>
      <c r="Z152" s="13">
        <f t="shared" si="14"/>
        <v>0</v>
      </c>
    </row>
    <row r="153" spans="2:26" x14ac:dyDescent="0.25">
      <c r="B153" s="4">
        <v>151</v>
      </c>
      <c r="C153" s="4">
        <f t="array" ref="C153">INDEX(Sheet1!$B$2:$F$22000,SMALL(IF(Sheet1!$A$2:$A$22000=$A$1,ROW(Sheet1!$B$2:$B$22000)),ROW($A151:$F151))-1,2)</f>
        <v>0</v>
      </c>
      <c r="D153" s="4">
        <f t="array" ref="D153">INDEX(Sheet1!$B$2:$F$22000,SMALL(IF(Sheet1!$A$2:$A$22000=$A$1,ROW(Sheet1!$B$2:$B$22000)),ROW($A151:$F151))-1,3)</f>
        <v>0</v>
      </c>
      <c r="E153" s="4">
        <f t="array" ref="E153">INDEX(Sheet1!$B$2:$F$22000,SMALL(IF(Sheet1!$A$2:$A$22000=$A$1,ROW(Sheet1!$B$2:$B$22000)),ROW($A151:$F151))-1,4)</f>
        <v>0</v>
      </c>
      <c r="F153" s="4">
        <f t="array" ref="F153">INDEX(Sheet1!$B$2:$F$22000,SMALL(IF(Sheet1!$A$2:$A$22000=$A$1,ROW(Sheet1!$B$2:$B$22000)),ROW($A151:$F151))-1,5)</f>
        <v>0</v>
      </c>
      <c r="M153" s="9">
        <v>151</v>
      </c>
      <c r="N153" s="10">
        <f t="shared" si="15"/>
        <v>0</v>
      </c>
      <c r="O153" s="11">
        <f t="shared" si="16"/>
        <v>0</v>
      </c>
      <c r="P153" s="12">
        <f t="shared" si="17"/>
        <v>0</v>
      </c>
      <c r="Q153" s="13">
        <f t="shared" si="18"/>
        <v>0</v>
      </c>
      <c r="V153" s="14">
        <f t="shared" si="13"/>
        <v>0.294921875</v>
      </c>
      <c r="W153" s="10">
        <f t="shared" si="19"/>
        <v>0</v>
      </c>
      <c r="X153" s="11">
        <f t="shared" si="19"/>
        <v>0</v>
      </c>
      <c r="Y153" s="12">
        <f t="shared" si="19"/>
        <v>0</v>
      </c>
      <c r="Z153" s="13">
        <f t="shared" si="14"/>
        <v>0</v>
      </c>
    </row>
    <row r="154" spans="2:26" x14ac:dyDescent="0.25">
      <c r="B154" s="4">
        <v>152</v>
      </c>
      <c r="C154" s="4">
        <f t="array" ref="C154">INDEX(Sheet1!$B$2:$F$22000,SMALL(IF(Sheet1!$A$2:$A$22000=$A$1,ROW(Sheet1!$B$2:$B$22000)),ROW($A152:$F152))-1,2)</f>
        <v>0</v>
      </c>
      <c r="D154" s="4">
        <f t="array" ref="D154">INDEX(Sheet1!$B$2:$F$22000,SMALL(IF(Sheet1!$A$2:$A$22000=$A$1,ROW(Sheet1!$B$2:$B$22000)),ROW($A152:$F152))-1,3)</f>
        <v>0</v>
      </c>
      <c r="E154" s="4">
        <f t="array" ref="E154">INDEX(Sheet1!$B$2:$F$22000,SMALL(IF(Sheet1!$A$2:$A$22000=$A$1,ROW(Sheet1!$B$2:$B$22000)),ROW($A152:$F152))-1,4)</f>
        <v>0</v>
      </c>
      <c r="F154" s="4">
        <f t="array" ref="F154">INDEX(Sheet1!$B$2:$F$22000,SMALL(IF(Sheet1!$A$2:$A$22000=$A$1,ROW(Sheet1!$B$2:$B$22000)),ROW($A152:$F152))-1,5)</f>
        <v>0</v>
      </c>
      <c r="M154" s="9">
        <v>152</v>
      </c>
      <c r="N154" s="10">
        <f t="shared" si="15"/>
        <v>0</v>
      </c>
      <c r="O154" s="11">
        <f t="shared" si="16"/>
        <v>0</v>
      </c>
      <c r="P154" s="12">
        <f t="shared" si="17"/>
        <v>0</v>
      </c>
      <c r="Q154" s="13">
        <f t="shared" si="18"/>
        <v>0</v>
      </c>
      <c r="V154" s="14">
        <f t="shared" si="13"/>
        <v>0.296875</v>
      </c>
      <c r="W154" s="10">
        <f t="shared" si="19"/>
        <v>0</v>
      </c>
      <c r="X154" s="11">
        <f t="shared" si="19"/>
        <v>0</v>
      </c>
      <c r="Y154" s="12">
        <f t="shared" si="19"/>
        <v>0</v>
      </c>
      <c r="Z154" s="13">
        <f t="shared" si="14"/>
        <v>0</v>
      </c>
    </row>
    <row r="155" spans="2:26" x14ac:dyDescent="0.25">
      <c r="B155" s="4">
        <v>153</v>
      </c>
      <c r="C155" s="4">
        <f t="array" ref="C155">INDEX(Sheet1!$B$2:$F$22000,SMALL(IF(Sheet1!$A$2:$A$22000=$A$1,ROW(Sheet1!$B$2:$B$22000)),ROW($A153:$F153))-1,2)</f>
        <v>0</v>
      </c>
      <c r="D155" s="4">
        <f t="array" ref="D155">INDEX(Sheet1!$B$2:$F$22000,SMALL(IF(Sheet1!$A$2:$A$22000=$A$1,ROW(Sheet1!$B$2:$B$22000)),ROW($A153:$F153))-1,3)</f>
        <v>0</v>
      </c>
      <c r="E155" s="4">
        <f t="array" ref="E155">INDEX(Sheet1!$B$2:$F$22000,SMALL(IF(Sheet1!$A$2:$A$22000=$A$1,ROW(Sheet1!$B$2:$B$22000)),ROW($A153:$F153))-1,4)</f>
        <v>0</v>
      </c>
      <c r="F155" s="4">
        <f t="array" ref="F155">INDEX(Sheet1!$B$2:$F$22000,SMALL(IF(Sheet1!$A$2:$A$22000=$A$1,ROW(Sheet1!$B$2:$B$22000)),ROW($A153:$F153))-1,5)</f>
        <v>0</v>
      </c>
      <c r="M155" s="9">
        <v>153</v>
      </c>
      <c r="N155" s="10">
        <f t="shared" si="15"/>
        <v>0</v>
      </c>
      <c r="O155" s="11">
        <f t="shared" si="16"/>
        <v>0</v>
      </c>
      <c r="P155" s="12">
        <f t="shared" si="17"/>
        <v>0</v>
      </c>
      <c r="Q155" s="13">
        <f t="shared" si="18"/>
        <v>0</v>
      </c>
      <c r="V155" s="14">
        <f t="shared" si="13"/>
        <v>0.298828125</v>
      </c>
      <c r="W155" s="10">
        <f t="shared" si="19"/>
        <v>0</v>
      </c>
      <c r="X155" s="11">
        <f t="shared" si="19"/>
        <v>0</v>
      </c>
      <c r="Y155" s="12">
        <f t="shared" si="19"/>
        <v>0</v>
      </c>
      <c r="Z155" s="13">
        <f t="shared" si="14"/>
        <v>0</v>
      </c>
    </row>
    <row r="156" spans="2:26" x14ac:dyDescent="0.25">
      <c r="B156" s="4">
        <v>154</v>
      </c>
      <c r="C156" s="4">
        <f t="array" ref="C156">INDEX(Sheet1!$B$2:$F$22000,SMALL(IF(Sheet1!$A$2:$A$22000=$A$1,ROW(Sheet1!$B$2:$B$22000)),ROW($A154:$F154))-1,2)</f>
        <v>0</v>
      </c>
      <c r="D156" s="4">
        <f t="array" ref="D156">INDEX(Sheet1!$B$2:$F$22000,SMALL(IF(Sheet1!$A$2:$A$22000=$A$1,ROW(Sheet1!$B$2:$B$22000)),ROW($A154:$F154))-1,3)</f>
        <v>0</v>
      </c>
      <c r="E156" s="4">
        <f t="array" ref="E156">INDEX(Sheet1!$B$2:$F$22000,SMALL(IF(Sheet1!$A$2:$A$22000=$A$1,ROW(Sheet1!$B$2:$B$22000)),ROW($A154:$F154))-1,4)</f>
        <v>0</v>
      </c>
      <c r="F156" s="4">
        <f t="array" ref="F156">INDEX(Sheet1!$B$2:$F$22000,SMALL(IF(Sheet1!$A$2:$A$22000=$A$1,ROW(Sheet1!$B$2:$B$22000)),ROW($A154:$F154))-1,5)</f>
        <v>0</v>
      </c>
      <c r="M156" s="9">
        <v>154</v>
      </c>
      <c r="N156" s="10">
        <f t="shared" si="15"/>
        <v>0</v>
      </c>
      <c r="O156" s="11">
        <f t="shared" si="16"/>
        <v>0</v>
      </c>
      <c r="P156" s="12">
        <f t="shared" si="17"/>
        <v>0</v>
      </c>
      <c r="Q156" s="13">
        <f t="shared" si="18"/>
        <v>0</v>
      </c>
      <c r="V156" s="14">
        <f t="shared" si="13"/>
        <v>0.30078125</v>
      </c>
      <c r="W156" s="10">
        <f t="shared" si="19"/>
        <v>0</v>
      </c>
      <c r="X156" s="11">
        <f t="shared" si="19"/>
        <v>0</v>
      </c>
      <c r="Y156" s="12">
        <f t="shared" si="19"/>
        <v>0</v>
      </c>
      <c r="Z156" s="13">
        <f t="shared" si="14"/>
        <v>0</v>
      </c>
    </row>
    <row r="157" spans="2:26" x14ac:dyDescent="0.25">
      <c r="B157" s="4">
        <v>155</v>
      </c>
      <c r="C157" s="4">
        <f t="array" ref="C157">INDEX(Sheet1!$B$2:$F$22000,SMALL(IF(Sheet1!$A$2:$A$22000=$A$1,ROW(Sheet1!$B$2:$B$22000)),ROW($A155:$F155))-1,2)</f>
        <v>0</v>
      </c>
      <c r="D157" s="4">
        <f t="array" ref="D157">INDEX(Sheet1!$B$2:$F$22000,SMALL(IF(Sheet1!$A$2:$A$22000=$A$1,ROW(Sheet1!$B$2:$B$22000)),ROW($A155:$F155))-1,3)</f>
        <v>0</v>
      </c>
      <c r="E157" s="4">
        <f t="array" ref="E157">INDEX(Sheet1!$B$2:$F$22000,SMALL(IF(Sheet1!$A$2:$A$22000=$A$1,ROW(Sheet1!$B$2:$B$22000)),ROW($A155:$F155))-1,4)</f>
        <v>0</v>
      </c>
      <c r="F157" s="4">
        <f t="array" ref="F157">INDEX(Sheet1!$B$2:$F$22000,SMALL(IF(Sheet1!$A$2:$A$22000=$A$1,ROW(Sheet1!$B$2:$B$22000)),ROW($A155:$F155))-1,5)</f>
        <v>0</v>
      </c>
      <c r="M157" s="9">
        <v>155</v>
      </c>
      <c r="N157" s="10">
        <f t="shared" si="15"/>
        <v>0</v>
      </c>
      <c r="O157" s="11">
        <f t="shared" si="16"/>
        <v>0</v>
      </c>
      <c r="P157" s="12">
        <f t="shared" si="17"/>
        <v>0</v>
      </c>
      <c r="Q157" s="13">
        <f t="shared" si="18"/>
        <v>0</v>
      </c>
      <c r="V157" s="14">
        <f t="shared" si="13"/>
        <v>0.302734375</v>
      </c>
      <c r="W157" s="10">
        <f t="shared" si="19"/>
        <v>0</v>
      </c>
      <c r="X157" s="11">
        <f t="shared" si="19"/>
        <v>0</v>
      </c>
      <c r="Y157" s="12">
        <f t="shared" si="19"/>
        <v>0</v>
      </c>
      <c r="Z157" s="13">
        <f t="shared" si="14"/>
        <v>0</v>
      </c>
    </row>
    <row r="158" spans="2:26" x14ac:dyDescent="0.25">
      <c r="B158" s="4">
        <v>156</v>
      </c>
      <c r="C158" s="4">
        <f t="array" ref="C158">INDEX(Sheet1!$B$2:$F$22000,SMALL(IF(Sheet1!$A$2:$A$22000=$A$1,ROW(Sheet1!$B$2:$B$22000)),ROW($A156:$F156))-1,2)</f>
        <v>0</v>
      </c>
      <c r="D158" s="4">
        <f t="array" ref="D158">INDEX(Sheet1!$B$2:$F$22000,SMALL(IF(Sheet1!$A$2:$A$22000=$A$1,ROW(Sheet1!$B$2:$B$22000)),ROW($A156:$F156))-1,3)</f>
        <v>0</v>
      </c>
      <c r="E158" s="4">
        <f t="array" ref="E158">INDEX(Sheet1!$B$2:$F$22000,SMALL(IF(Sheet1!$A$2:$A$22000=$A$1,ROW(Sheet1!$B$2:$B$22000)),ROW($A156:$F156))-1,4)</f>
        <v>0</v>
      </c>
      <c r="F158" s="4">
        <f t="array" ref="F158">INDEX(Sheet1!$B$2:$F$22000,SMALL(IF(Sheet1!$A$2:$A$22000=$A$1,ROW(Sheet1!$B$2:$B$22000)),ROW($A156:$F156))-1,5)</f>
        <v>0</v>
      </c>
      <c r="M158" s="9">
        <v>156</v>
      </c>
      <c r="N158" s="10">
        <f t="shared" si="15"/>
        <v>0</v>
      </c>
      <c r="O158" s="11">
        <f t="shared" si="16"/>
        <v>0</v>
      </c>
      <c r="P158" s="12">
        <f t="shared" si="17"/>
        <v>0</v>
      </c>
      <c r="Q158" s="13">
        <f t="shared" si="18"/>
        <v>0</v>
      </c>
      <c r="V158" s="14">
        <f t="shared" si="13"/>
        <v>0.3046875</v>
      </c>
      <c r="W158" s="10">
        <f t="shared" si="19"/>
        <v>0</v>
      </c>
      <c r="X158" s="11">
        <f t="shared" si="19"/>
        <v>0</v>
      </c>
      <c r="Y158" s="12">
        <f t="shared" si="19"/>
        <v>0</v>
      </c>
      <c r="Z158" s="13">
        <f t="shared" si="14"/>
        <v>0</v>
      </c>
    </row>
    <row r="159" spans="2:26" x14ac:dyDescent="0.25">
      <c r="B159" s="4">
        <v>157</v>
      </c>
      <c r="C159" s="4">
        <f t="array" ref="C159">INDEX(Sheet1!$B$2:$F$22000,SMALL(IF(Sheet1!$A$2:$A$22000=$A$1,ROW(Sheet1!$B$2:$B$22000)),ROW($A157:$F157))-1,2)</f>
        <v>0</v>
      </c>
      <c r="D159" s="4">
        <f t="array" ref="D159">INDEX(Sheet1!$B$2:$F$22000,SMALL(IF(Sheet1!$A$2:$A$22000=$A$1,ROW(Sheet1!$B$2:$B$22000)),ROW($A157:$F157))-1,3)</f>
        <v>0</v>
      </c>
      <c r="E159" s="4">
        <f t="array" ref="E159">INDEX(Sheet1!$B$2:$F$22000,SMALL(IF(Sheet1!$A$2:$A$22000=$A$1,ROW(Sheet1!$B$2:$B$22000)),ROW($A157:$F157))-1,4)</f>
        <v>0</v>
      </c>
      <c r="F159" s="4">
        <f t="array" ref="F159">INDEX(Sheet1!$B$2:$F$22000,SMALL(IF(Sheet1!$A$2:$A$22000=$A$1,ROW(Sheet1!$B$2:$B$22000)),ROW($A157:$F157))-1,5)</f>
        <v>0</v>
      </c>
      <c r="M159" s="9">
        <v>157</v>
      </c>
      <c r="N159" s="10">
        <f t="shared" si="15"/>
        <v>0</v>
      </c>
      <c r="O159" s="11">
        <f t="shared" si="16"/>
        <v>0</v>
      </c>
      <c r="P159" s="12">
        <f t="shared" si="17"/>
        <v>0</v>
      </c>
      <c r="Q159" s="13">
        <f t="shared" si="18"/>
        <v>0</v>
      </c>
      <c r="V159" s="14">
        <f t="shared" si="13"/>
        <v>0.306640625</v>
      </c>
      <c r="W159" s="10">
        <f t="shared" si="19"/>
        <v>0</v>
      </c>
      <c r="X159" s="11">
        <f t="shared" si="19"/>
        <v>0</v>
      </c>
      <c r="Y159" s="12">
        <f t="shared" si="19"/>
        <v>0</v>
      </c>
      <c r="Z159" s="13">
        <f t="shared" si="14"/>
        <v>0</v>
      </c>
    </row>
    <row r="160" spans="2:26" x14ac:dyDescent="0.25">
      <c r="B160" s="4">
        <v>158</v>
      </c>
      <c r="C160" s="4">
        <f t="array" ref="C160">INDEX(Sheet1!$B$2:$F$22000,SMALL(IF(Sheet1!$A$2:$A$22000=$A$1,ROW(Sheet1!$B$2:$B$22000)),ROW($A158:$F158))-1,2)</f>
        <v>0</v>
      </c>
      <c r="D160" s="4">
        <f t="array" ref="D160">INDEX(Sheet1!$B$2:$F$22000,SMALL(IF(Sheet1!$A$2:$A$22000=$A$1,ROW(Sheet1!$B$2:$B$22000)),ROW($A158:$F158))-1,3)</f>
        <v>0</v>
      </c>
      <c r="E160" s="4">
        <f t="array" ref="E160">INDEX(Sheet1!$B$2:$F$22000,SMALL(IF(Sheet1!$A$2:$A$22000=$A$1,ROW(Sheet1!$B$2:$B$22000)),ROW($A158:$F158))-1,4)</f>
        <v>0</v>
      </c>
      <c r="F160" s="4">
        <f t="array" ref="F160">INDEX(Sheet1!$B$2:$F$22000,SMALL(IF(Sheet1!$A$2:$A$22000=$A$1,ROW(Sheet1!$B$2:$B$22000)),ROW($A158:$F158))-1,5)</f>
        <v>0</v>
      </c>
      <c r="M160" s="9">
        <v>158</v>
      </c>
      <c r="N160" s="10">
        <f t="shared" si="15"/>
        <v>0</v>
      </c>
      <c r="O160" s="11">
        <f t="shared" si="16"/>
        <v>0</v>
      </c>
      <c r="P160" s="12">
        <f t="shared" si="17"/>
        <v>0</v>
      </c>
      <c r="Q160" s="13">
        <f t="shared" si="18"/>
        <v>0</v>
      </c>
      <c r="V160" s="14">
        <f t="shared" si="13"/>
        <v>0.30859375</v>
      </c>
      <c r="W160" s="10">
        <f t="shared" si="19"/>
        <v>0</v>
      </c>
      <c r="X160" s="11">
        <f t="shared" si="19"/>
        <v>0</v>
      </c>
      <c r="Y160" s="12">
        <f t="shared" si="19"/>
        <v>0</v>
      </c>
      <c r="Z160" s="13">
        <f t="shared" si="14"/>
        <v>0</v>
      </c>
    </row>
    <row r="161" spans="2:26" x14ac:dyDescent="0.25">
      <c r="B161" s="4">
        <v>159</v>
      </c>
      <c r="C161" s="4">
        <f t="array" ref="C161">INDEX(Sheet1!$B$2:$F$22000,SMALL(IF(Sheet1!$A$2:$A$22000=$A$1,ROW(Sheet1!$B$2:$B$22000)),ROW($A159:$F159))-1,2)</f>
        <v>0</v>
      </c>
      <c r="D161" s="4">
        <f t="array" ref="D161">INDEX(Sheet1!$B$2:$F$22000,SMALL(IF(Sheet1!$A$2:$A$22000=$A$1,ROW(Sheet1!$B$2:$B$22000)),ROW($A159:$F159))-1,3)</f>
        <v>0</v>
      </c>
      <c r="E161" s="4">
        <f t="array" ref="E161">INDEX(Sheet1!$B$2:$F$22000,SMALL(IF(Sheet1!$A$2:$A$22000=$A$1,ROW(Sheet1!$B$2:$B$22000)),ROW($A159:$F159))-1,4)</f>
        <v>0</v>
      </c>
      <c r="F161" s="4">
        <f t="array" ref="F161">INDEX(Sheet1!$B$2:$F$22000,SMALL(IF(Sheet1!$A$2:$A$22000=$A$1,ROW(Sheet1!$B$2:$B$22000)),ROW($A159:$F159))-1,5)</f>
        <v>0</v>
      </c>
      <c r="M161" s="9">
        <v>159</v>
      </c>
      <c r="N161" s="10">
        <f t="shared" si="15"/>
        <v>0</v>
      </c>
      <c r="O161" s="11">
        <f t="shared" si="16"/>
        <v>0</v>
      </c>
      <c r="P161" s="12">
        <f t="shared" si="17"/>
        <v>0</v>
      </c>
      <c r="Q161" s="13">
        <f t="shared" si="18"/>
        <v>0</v>
      </c>
      <c r="V161" s="14">
        <f t="shared" si="13"/>
        <v>0.310546875</v>
      </c>
      <c r="W161" s="10">
        <f t="shared" si="19"/>
        <v>0</v>
      </c>
      <c r="X161" s="11">
        <f t="shared" si="19"/>
        <v>0</v>
      </c>
      <c r="Y161" s="12">
        <f t="shared" si="19"/>
        <v>0</v>
      </c>
      <c r="Z161" s="13">
        <f t="shared" si="14"/>
        <v>0</v>
      </c>
    </row>
    <row r="162" spans="2:26" x14ac:dyDescent="0.25">
      <c r="B162" s="4">
        <v>160</v>
      </c>
      <c r="C162" s="4">
        <f t="array" ref="C162">INDEX(Sheet1!$B$2:$F$22000,SMALL(IF(Sheet1!$A$2:$A$22000=$A$1,ROW(Sheet1!$B$2:$B$22000)),ROW($A160:$F160))-1,2)</f>
        <v>0</v>
      </c>
      <c r="D162" s="4">
        <f t="array" ref="D162">INDEX(Sheet1!$B$2:$F$22000,SMALL(IF(Sheet1!$A$2:$A$22000=$A$1,ROW(Sheet1!$B$2:$B$22000)),ROW($A160:$F160))-1,3)</f>
        <v>0</v>
      </c>
      <c r="E162" s="4">
        <f t="array" ref="E162">INDEX(Sheet1!$B$2:$F$22000,SMALL(IF(Sheet1!$A$2:$A$22000=$A$1,ROW(Sheet1!$B$2:$B$22000)),ROW($A160:$F160))-1,4)</f>
        <v>0</v>
      </c>
      <c r="F162" s="4">
        <f t="array" ref="F162">INDEX(Sheet1!$B$2:$F$22000,SMALL(IF(Sheet1!$A$2:$A$22000=$A$1,ROW(Sheet1!$B$2:$B$22000)),ROW($A160:$F160))-1,5)</f>
        <v>0</v>
      </c>
      <c r="M162" s="9">
        <v>160</v>
      </c>
      <c r="N162" s="10">
        <f t="shared" si="15"/>
        <v>0</v>
      </c>
      <c r="O162" s="11">
        <f t="shared" si="16"/>
        <v>0</v>
      </c>
      <c r="P162" s="12">
        <f t="shared" si="17"/>
        <v>0</v>
      </c>
      <c r="Q162" s="13">
        <f t="shared" si="18"/>
        <v>0</v>
      </c>
      <c r="V162" s="14">
        <f t="shared" si="13"/>
        <v>0.3125</v>
      </c>
      <c r="W162" s="10">
        <f t="shared" si="19"/>
        <v>0</v>
      </c>
      <c r="X162" s="11">
        <f t="shared" si="19"/>
        <v>0</v>
      </c>
      <c r="Y162" s="12">
        <f t="shared" si="19"/>
        <v>0</v>
      </c>
      <c r="Z162" s="13">
        <f t="shared" si="14"/>
        <v>0</v>
      </c>
    </row>
    <row r="163" spans="2:26" x14ac:dyDescent="0.25">
      <c r="B163" s="4">
        <v>161</v>
      </c>
      <c r="C163" s="4">
        <f t="array" ref="C163">INDEX(Sheet1!$B$2:$F$22000,SMALL(IF(Sheet1!$A$2:$A$22000=$A$1,ROW(Sheet1!$B$2:$B$22000)),ROW($A161:$F161))-1,2)</f>
        <v>0</v>
      </c>
      <c r="D163" s="4">
        <f t="array" ref="D163">INDEX(Sheet1!$B$2:$F$22000,SMALL(IF(Sheet1!$A$2:$A$22000=$A$1,ROW(Sheet1!$B$2:$B$22000)),ROW($A161:$F161))-1,3)</f>
        <v>0</v>
      </c>
      <c r="E163" s="4">
        <f t="array" ref="E163">INDEX(Sheet1!$B$2:$F$22000,SMALL(IF(Sheet1!$A$2:$A$22000=$A$1,ROW(Sheet1!$B$2:$B$22000)),ROW($A161:$F161))-1,4)</f>
        <v>0</v>
      </c>
      <c r="F163" s="4">
        <f t="array" ref="F163">INDEX(Sheet1!$B$2:$F$22000,SMALL(IF(Sheet1!$A$2:$A$22000=$A$1,ROW(Sheet1!$B$2:$B$22000)),ROW($A161:$F161))-1,5)</f>
        <v>0</v>
      </c>
      <c r="M163" s="9">
        <v>161</v>
      </c>
      <c r="N163" s="10">
        <f t="shared" si="15"/>
        <v>0</v>
      </c>
      <c r="O163" s="11">
        <f t="shared" si="16"/>
        <v>0</v>
      </c>
      <c r="P163" s="12">
        <f t="shared" si="17"/>
        <v>0</v>
      </c>
      <c r="Q163" s="13">
        <f t="shared" si="18"/>
        <v>0</v>
      </c>
      <c r="V163" s="14">
        <f t="shared" si="13"/>
        <v>0.314453125</v>
      </c>
      <c r="W163" s="10">
        <f t="shared" si="19"/>
        <v>0</v>
      </c>
      <c r="X163" s="11">
        <f t="shared" si="19"/>
        <v>0</v>
      </c>
      <c r="Y163" s="12">
        <f t="shared" si="19"/>
        <v>0</v>
      </c>
      <c r="Z163" s="13">
        <f t="shared" si="14"/>
        <v>0</v>
      </c>
    </row>
    <row r="164" spans="2:26" x14ac:dyDescent="0.25">
      <c r="B164" s="4">
        <v>162</v>
      </c>
      <c r="C164" s="4">
        <f t="array" ref="C164">INDEX(Sheet1!$B$2:$F$22000,SMALL(IF(Sheet1!$A$2:$A$22000=$A$1,ROW(Sheet1!$B$2:$B$22000)),ROW($A162:$F162))-1,2)</f>
        <v>0</v>
      </c>
      <c r="D164" s="4">
        <f t="array" ref="D164">INDEX(Sheet1!$B$2:$F$22000,SMALL(IF(Sheet1!$A$2:$A$22000=$A$1,ROW(Sheet1!$B$2:$B$22000)),ROW($A162:$F162))-1,3)</f>
        <v>0</v>
      </c>
      <c r="E164" s="4">
        <f t="array" ref="E164">INDEX(Sheet1!$B$2:$F$22000,SMALL(IF(Sheet1!$A$2:$A$22000=$A$1,ROW(Sheet1!$B$2:$B$22000)),ROW($A162:$F162))-1,4)</f>
        <v>0</v>
      </c>
      <c r="F164" s="4">
        <f t="array" ref="F164">INDEX(Sheet1!$B$2:$F$22000,SMALL(IF(Sheet1!$A$2:$A$22000=$A$1,ROW(Sheet1!$B$2:$B$22000)),ROW($A162:$F162))-1,5)</f>
        <v>0</v>
      </c>
      <c r="M164" s="9">
        <v>162</v>
      </c>
      <c r="N164" s="10">
        <f t="shared" si="15"/>
        <v>0</v>
      </c>
      <c r="O164" s="11">
        <f t="shared" si="16"/>
        <v>0</v>
      </c>
      <c r="P164" s="12">
        <f t="shared" si="17"/>
        <v>0</v>
      </c>
      <c r="Q164" s="13">
        <f t="shared" si="18"/>
        <v>0</v>
      </c>
      <c r="V164" s="14">
        <f t="shared" si="13"/>
        <v>0.31640625</v>
      </c>
      <c r="W164" s="10">
        <f t="shared" si="19"/>
        <v>0</v>
      </c>
      <c r="X164" s="11">
        <f t="shared" si="19"/>
        <v>0</v>
      </c>
      <c r="Y164" s="12">
        <f t="shared" si="19"/>
        <v>0</v>
      </c>
      <c r="Z164" s="13">
        <f t="shared" si="14"/>
        <v>0</v>
      </c>
    </row>
    <row r="165" spans="2:26" x14ac:dyDescent="0.25">
      <c r="B165" s="4">
        <v>163</v>
      </c>
      <c r="C165" s="4">
        <f t="array" ref="C165">INDEX(Sheet1!$B$2:$F$22000,SMALL(IF(Sheet1!$A$2:$A$22000=$A$1,ROW(Sheet1!$B$2:$B$22000)),ROW($A163:$F163))-1,2)</f>
        <v>0</v>
      </c>
      <c r="D165" s="4">
        <f t="array" ref="D165">INDEX(Sheet1!$B$2:$F$22000,SMALL(IF(Sheet1!$A$2:$A$22000=$A$1,ROW(Sheet1!$B$2:$B$22000)),ROW($A163:$F163))-1,3)</f>
        <v>0</v>
      </c>
      <c r="E165" s="4">
        <f t="array" ref="E165">INDEX(Sheet1!$B$2:$F$22000,SMALL(IF(Sheet1!$A$2:$A$22000=$A$1,ROW(Sheet1!$B$2:$B$22000)),ROW($A163:$F163))-1,4)</f>
        <v>0</v>
      </c>
      <c r="F165" s="4">
        <f t="array" ref="F165">INDEX(Sheet1!$B$2:$F$22000,SMALL(IF(Sheet1!$A$2:$A$22000=$A$1,ROW(Sheet1!$B$2:$B$22000)),ROW($A163:$F163))-1,5)</f>
        <v>0</v>
      </c>
      <c r="M165" s="9">
        <v>163</v>
      </c>
      <c r="N165" s="10">
        <f t="shared" si="15"/>
        <v>0</v>
      </c>
      <c r="O165" s="11">
        <f t="shared" si="16"/>
        <v>0</v>
      </c>
      <c r="P165" s="12">
        <f t="shared" si="17"/>
        <v>0</v>
      </c>
      <c r="Q165" s="13">
        <f t="shared" si="18"/>
        <v>0</v>
      </c>
      <c r="V165" s="14">
        <f t="shared" si="13"/>
        <v>0.318359375</v>
      </c>
      <c r="W165" s="10">
        <f t="shared" si="19"/>
        <v>0</v>
      </c>
      <c r="X165" s="11">
        <f t="shared" si="19"/>
        <v>0</v>
      </c>
      <c r="Y165" s="12">
        <f t="shared" si="19"/>
        <v>0</v>
      </c>
      <c r="Z165" s="13">
        <f t="shared" si="14"/>
        <v>0</v>
      </c>
    </row>
    <row r="166" spans="2:26" x14ac:dyDescent="0.25">
      <c r="B166" s="4">
        <v>164</v>
      </c>
      <c r="C166" s="4">
        <f t="array" ref="C166">INDEX(Sheet1!$B$2:$F$22000,SMALL(IF(Sheet1!$A$2:$A$22000=$A$1,ROW(Sheet1!$B$2:$B$22000)),ROW($A164:$F164))-1,2)</f>
        <v>0</v>
      </c>
      <c r="D166" s="4">
        <f t="array" ref="D166">INDEX(Sheet1!$B$2:$F$22000,SMALL(IF(Sheet1!$A$2:$A$22000=$A$1,ROW(Sheet1!$B$2:$B$22000)),ROW($A164:$F164))-1,3)</f>
        <v>0</v>
      </c>
      <c r="E166" s="4">
        <f t="array" ref="E166">INDEX(Sheet1!$B$2:$F$22000,SMALL(IF(Sheet1!$A$2:$A$22000=$A$1,ROW(Sheet1!$B$2:$B$22000)),ROW($A164:$F164))-1,4)</f>
        <v>0</v>
      </c>
      <c r="F166" s="4">
        <f t="array" ref="F166">INDEX(Sheet1!$B$2:$F$22000,SMALL(IF(Sheet1!$A$2:$A$22000=$A$1,ROW(Sheet1!$B$2:$B$22000)),ROW($A164:$F164))-1,5)</f>
        <v>0</v>
      </c>
      <c r="M166" s="9">
        <v>164</v>
      </c>
      <c r="N166" s="10">
        <f t="shared" si="15"/>
        <v>0</v>
      </c>
      <c r="O166" s="11">
        <f t="shared" si="16"/>
        <v>0</v>
      </c>
      <c r="P166" s="12">
        <f t="shared" si="17"/>
        <v>0</v>
      </c>
      <c r="Q166" s="13">
        <f t="shared" si="18"/>
        <v>0</v>
      </c>
      <c r="V166" s="14">
        <f t="shared" si="13"/>
        <v>0.3203125</v>
      </c>
      <c r="W166" s="10">
        <f t="shared" si="19"/>
        <v>0</v>
      </c>
      <c r="X166" s="11">
        <f t="shared" si="19"/>
        <v>0</v>
      </c>
      <c r="Y166" s="12">
        <f t="shared" si="19"/>
        <v>0</v>
      </c>
      <c r="Z166" s="13">
        <f t="shared" si="14"/>
        <v>0</v>
      </c>
    </row>
    <row r="167" spans="2:26" x14ac:dyDescent="0.25">
      <c r="B167" s="4">
        <v>165</v>
      </c>
      <c r="C167" s="4">
        <f t="array" ref="C167">INDEX(Sheet1!$B$2:$F$22000,SMALL(IF(Sheet1!$A$2:$A$22000=$A$1,ROW(Sheet1!$B$2:$B$22000)),ROW($A165:$F165))-1,2)</f>
        <v>0</v>
      </c>
      <c r="D167" s="4">
        <f t="array" ref="D167">INDEX(Sheet1!$B$2:$F$22000,SMALL(IF(Sheet1!$A$2:$A$22000=$A$1,ROW(Sheet1!$B$2:$B$22000)),ROW($A165:$F165))-1,3)</f>
        <v>0</v>
      </c>
      <c r="E167" s="4">
        <f t="array" ref="E167">INDEX(Sheet1!$B$2:$F$22000,SMALL(IF(Sheet1!$A$2:$A$22000=$A$1,ROW(Sheet1!$B$2:$B$22000)),ROW($A165:$F165))-1,4)</f>
        <v>0</v>
      </c>
      <c r="F167" s="4">
        <f t="array" ref="F167">INDEX(Sheet1!$B$2:$F$22000,SMALL(IF(Sheet1!$A$2:$A$22000=$A$1,ROW(Sheet1!$B$2:$B$22000)),ROW($A165:$F165))-1,5)</f>
        <v>0</v>
      </c>
      <c r="M167" s="9">
        <v>165</v>
      </c>
      <c r="N167" s="10">
        <f t="shared" si="15"/>
        <v>0</v>
      </c>
      <c r="O167" s="11">
        <f t="shared" si="16"/>
        <v>0</v>
      </c>
      <c r="P167" s="12">
        <f t="shared" si="17"/>
        <v>0</v>
      </c>
      <c r="Q167" s="13">
        <f t="shared" si="18"/>
        <v>0</v>
      </c>
      <c r="V167" s="14">
        <f t="shared" si="13"/>
        <v>0.322265625</v>
      </c>
      <c r="W167" s="10">
        <f t="shared" si="19"/>
        <v>0</v>
      </c>
      <c r="X167" s="11">
        <f t="shared" si="19"/>
        <v>0</v>
      </c>
      <c r="Y167" s="12">
        <f t="shared" si="19"/>
        <v>0</v>
      </c>
      <c r="Z167" s="13">
        <f t="shared" si="14"/>
        <v>0</v>
      </c>
    </row>
    <row r="168" spans="2:26" x14ac:dyDescent="0.25">
      <c r="B168" s="4">
        <v>166</v>
      </c>
      <c r="C168" s="4">
        <f t="array" ref="C168">INDEX(Sheet1!$B$2:$F$22000,SMALL(IF(Sheet1!$A$2:$A$22000=$A$1,ROW(Sheet1!$B$2:$B$22000)),ROW($A166:$F166))-1,2)</f>
        <v>0</v>
      </c>
      <c r="D168" s="4">
        <f t="array" ref="D168">INDEX(Sheet1!$B$2:$F$22000,SMALL(IF(Sheet1!$A$2:$A$22000=$A$1,ROW(Sheet1!$B$2:$B$22000)),ROW($A166:$F166))-1,3)</f>
        <v>0</v>
      </c>
      <c r="E168" s="4">
        <f t="array" ref="E168">INDEX(Sheet1!$B$2:$F$22000,SMALL(IF(Sheet1!$A$2:$A$22000=$A$1,ROW(Sheet1!$B$2:$B$22000)),ROW($A166:$F166))-1,4)</f>
        <v>0</v>
      </c>
      <c r="F168" s="4">
        <f t="array" ref="F168">INDEX(Sheet1!$B$2:$F$22000,SMALL(IF(Sheet1!$A$2:$A$22000=$A$1,ROW(Sheet1!$B$2:$B$22000)),ROW($A166:$F166))-1,5)</f>
        <v>0</v>
      </c>
      <c r="M168" s="9">
        <v>166</v>
      </c>
      <c r="N168" s="10">
        <f t="shared" si="15"/>
        <v>0</v>
      </c>
      <c r="O168" s="11">
        <f t="shared" si="16"/>
        <v>0</v>
      </c>
      <c r="P168" s="12">
        <f t="shared" si="17"/>
        <v>0</v>
      </c>
      <c r="Q168" s="13">
        <f t="shared" si="18"/>
        <v>0</v>
      </c>
      <c r="V168" s="14">
        <f t="shared" si="13"/>
        <v>0.32421875</v>
      </c>
      <c r="W168" s="10">
        <f t="shared" si="19"/>
        <v>0</v>
      </c>
      <c r="X168" s="11">
        <f t="shared" si="19"/>
        <v>0</v>
      </c>
      <c r="Y168" s="12">
        <f t="shared" si="19"/>
        <v>0</v>
      </c>
      <c r="Z168" s="13">
        <f t="shared" si="14"/>
        <v>0</v>
      </c>
    </row>
    <row r="169" spans="2:26" x14ac:dyDescent="0.25">
      <c r="B169" s="4">
        <v>167</v>
      </c>
      <c r="C169" s="4">
        <f t="array" ref="C169">INDEX(Sheet1!$B$2:$F$22000,SMALL(IF(Sheet1!$A$2:$A$22000=$A$1,ROW(Sheet1!$B$2:$B$22000)),ROW($A167:$F167))-1,2)</f>
        <v>0</v>
      </c>
      <c r="D169" s="4">
        <f t="array" ref="D169">INDEX(Sheet1!$B$2:$F$22000,SMALL(IF(Sheet1!$A$2:$A$22000=$A$1,ROW(Sheet1!$B$2:$B$22000)),ROW($A167:$F167))-1,3)</f>
        <v>0</v>
      </c>
      <c r="E169" s="4">
        <f t="array" ref="E169">INDEX(Sheet1!$B$2:$F$22000,SMALL(IF(Sheet1!$A$2:$A$22000=$A$1,ROW(Sheet1!$B$2:$B$22000)),ROW($A167:$F167))-1,4)</f>
        <v>0</v>
      </c>
      <c r="F169" s="4">
        <f t="array" ref="F169">INDEX(Sheet1!$B$2:$F$22000,SMALL(IF(Sheet1!$A$2:$A$22000=$A$1,ROW(Sheet1!$B$2:$B$22000)),ROW($A167:$F167))-1,5)</f>
        <v>0</v>
      </c>
      <c r="M169" s="9">
        <v>167</v>
      </c>
      <c r="N169" s="10">
        <f t="shared" si="15"/>
        <v>0</v>
      </c>
      <c r="O169" s="11">
        <f t="shared" si="16"/>
        <v>0</v>
      </c>
      <c r="P169" s="12">
        <f t="shared" si="17"/>
        <v>0</v>
      </c>
      <c r="Q169" s="13">
        <f t="shared" si="18"/>
        <v>0</v>
      </c>
      <c r="V169" s="14">
        <f t="shared" si="13"/>
        <v>0.326171875</v>
      </c>
      <c r="W169" s="10">
        <f t="shared" si="19"/>
        <v>0</v>
      </c>
      <c r="X169" s="11">
        <f t="shared" si="19"/>
        <v>0</v>
      </c>
      <c r="Y169" s="12">
        <f t="shared" si="19"/>
        <v>0</v>
      </c>
      <c r="Z169" s="13">
        <f t="shared" si="14"/>
        <v>0</v>
      </c>
    </row>
    <row r="170" spans="2:26" x14ac:dyDescent="0.25">
      <c r="B170" s="4">
        <v>168</v>
      </c>
      <c r="C170" s="4">
        <f t="array" ref="C170">INDEX(Sheet1!$B$2:$F$22000,SMALL(IF(Sheet1!$A$2:$A$22000=$A$1,ROW(Sheet1!$B$2:$B$22000)),ROW($A168:$F168))-1,2)</f>
        <v>0</v>
      </c>
      <c r="D170" s="4">
        <f t="array" ref="D170">INDEX(Sheet1!$B$2:$F$22000,SMALL(IF(Sheet1!$A$2:$A$22000=$A$1,ROW(Sheet1!$B$2:$B$22000)),ROW($A168:$F168))-1,3)</f>
        <v>0</v>
      </c>
      <c r="E170" s="4">
        <f t="array" ref="E170">INDEX(Sheet1!$B$2:$F$22000,SMALL(IF(Sheet1!$A$2:$A$22000=$A$1,ROW(Sheet1!$B$2:$B$22000)),ROW($A168:$F168))-1,4)</f>
        <v>0</v>
      </c>
      <c r="F170" s="4">
        <f t="array" ref="F170">INDEX(Sheet1!$B$2:$F$22000,SMALL(IF(Sheet1!$A$2:$A$22000=$A$1,ROW(Sheet1!$B$2:$B$22000)),ROW($A168:$F168))-1,5)</f>
        <v>0</v>
      </c>
      <c r="M170" s="9">
        <v>168</v>
      </c>
      <c r="N170" s="10">
        <f t="shared" si="15"/>
        <v>0</v>
      </c>
      <c r="O170" s="11">
        <f t="shared" si="16"/>
        <v>0</v>
      </c>
      <c r="P170" s="12">
        <f t="shared" si="17"/>
        <v>0</v>
      </c>
      <c r="Q170" s="13">
        <f t="shared" si="18"/>
        <v>0</v>
      </c>
      <c r="V170" s="14">
        <f t="shared" si="13"/>
        <v>0.328125</v>
      </c>
      <c r="W170" s="10">
        <f t="shared" si="19"/>
        <v>0</v>
      </c>
      <c r="X170" s="11">
        <f t="shared" si="19"/>
        <v>0</v>
      </c>
      <c r="Y170" s="12">
        <f t="shared" si="19"/>
        <v>0</v>
      </c>
      <c r="Z170" s="13">
        <f t="shared" si="14"/>
        <v>0</v>
      </c>
    </row>
    <row r="171" spans="2:26" x14ac:dyDescent="0.25">
      <c r="B171" s="4">
        <v>169</v>
      </c>
      <c r="C171" s="4">
        <f t="array" ref="C171">INDEX(Sheet1!$B$2:$F$22000,SMALL(IF(Sheet1!$A$2:$A$22000=$A$1,ROW(Sheet1!$B$2:$B$22000)),ROW($A169:$F169))-1,2)</f>
        <v>0</v>
      </c>
      <c r="D171" s="4">
        <f t="array" ref="D171">INDEX(Sheet1!$B$2:$F$22000,SMALL(IF(Sheet1!$A$2:$A$22000=$A$1,ROW(Sheet1!$B$2:$B$22000)),ROW($A169:$F169))-1,3)</f>
        <v>0</v>
      </c>
      <c r="E171" s="4">
        <f t="array" ref="E171">INDEX(Sheet1!$B$2:$F$22000,SMALL(IF(Sheet1!$A$2:$A$22000=$A$1,ROW(Sheet1!$B$2:$B$22000)),ROW($A169:$F169))-1,4)</f>
        <v>0</v>
      </c>
      <c r="F171" s="4">
        <f t="array" ref="F171">INDEX(Sheet1!$B$2:$F$22000,SMALL(IF(Sheet1!$A$2:$A$22000=$A$1,ROW(Sheet1!$B$2:$B$22000)),ROW($A169:$F169))-1,5)</f>
        <v>0</v>
      </c>
      <c r="M171" s="9">
        <v>169</v>
      </c>
      <c r="N171" s="10">
        <f t="shared" si="15"/>
        <v>0</v>
      </c>
      <c r="O171" s="11">
        <f t="shared" si="16"/>
        <v>0</v>
      </c>
      <c r="P171" s="12">
        <f t="shared" si="17"/>
        <v>0</v>
      </c>
      <c r="Q171" s="13">
        <f t="shared" si="18"/>
        <v>0</v>
      </c>
      <c r="V171" s="14">
        <f t="shared" si="13"/>
        <v>0.330078125</v>
      </c>
      <c r="W171" s="10">
        <f t="shared" si="19"/>
        <v>0</v>
      </c>
      <c r="X171" s="11">
        <f t="shared" si="19"/>
        <v>0</v>
      </c>
      <c r="Y171" s="12">
        <f t="shared" si="19"/>
        <v>0</v>
      </c>
      <c r="Z171" s="13">
        <f t="shared" si="14"/>
        <v>0</v>
      </c>
    </row>
    <row r="172" spans="2:26" x14ac:dyDescent="0.25">
      <c r="B172" s="4">
        <v>170</v>
      </c>
      <c r="C172" s="4">
        <f t="array" ref="C172">INDEX(Sheet1!$B$2:$F$22000,SMALL(IF(Sheet1!$A$2:$A$22000=$A$1,ROW(Sheet1!$B$2:$B$22000)),ROW($A170:$F170))-1,2)</f>
        <v>0</v>
      </c>
      <c r="D172" s="4">
        <f t="array" ref="D172">INDEX(Sheet1!$B$2:$F$22000,SMALL(IF(Sheet1!$A$2:$A$22000=$A$1,ROW(Sheet1!$B$2:$B$22000)),ROW($A170:$F170))-1,3)</f>
        <v>0</v>
      </c>
      <c r="E172" s="4">
        <f t="array" ref="E172">INDEX(Sheet1!$B$2:$F$22000,SMALL(IF(Sheet1!$A$2:$A$22000=$A$1,ROW(Sheet1!$B$2:$B$22000)),ROW($A170:$F170))-1,4)</f>
        <v>0</v>
      </c>
      <c r="F172" s="4">
        <f t="array" ref="F172">INDEX(Sheet1!$B$2:$F$22000,SMALL(IF(Sheet1!$A$2:$A$22000=$A$1,ROW(Sheet1!$B$2:$B$22000)),ROW($A170:$F170))-1,5)</f>
        <v>0</v>
      </c>
      <c r="M172" s="9">
        <v>170</v>
      </c>
      <c r="N172" s="10">
        <f t="shared" si="15"/>
        <v>0</v>
      </c>
      <c r="O172" s="11">
        <f t="shared" si="16"/>
        <v>0</v>
      </c>
      <c r="P172" s="12">
        <f t="shared" si="17"/>
        <v>0</v>
      </c>
      <c r="Q172" s="13">
        <f t="shared" si="18"/>
        <v>0</v>
      </c>
      <c r="V172" s="14">
        <f t="shared" si="13"/>
        <v>0.33203125</v>
      </c>
      <c r="W172" s="10">
        <f t="shared" si="19"/>
        <v>0</v>
      </c>
      <c r="X172" s="11">
        <f t="shared" si="19"/>
        <v>0</v>
      </c>
      <c r="Y172" s="12">
        <f t="shared" si="19"/>
        <v>0</v>
      </c>
      <c r="Z172" s="13">
        <f t="shared" si="14"/>
        <v>0</v>
      </c>
    </row>
    <row r="173" spans="2:26" x14ac:dyDescent="0.25">
      <c r="B173" s="4">
        <v>171</v>
      </c>
      <c r="C173" s="4">
        <f t="array" ref="C173">INDEX(Sheet1!$B$2:$F$22000,SMALL(IF(Sheet1!$A$2:$A$22000=$A$1,ROW(Sheet1!$B$2:$B$22000)),ROW($A171:$F171))-1,2)</f>
        <v>0</v>
      </c>
      <c r="D173" s="4">
        <f t="array" ref="D173">INDEX(Sheet1!$B$2:$F$22000,SMALL(IF(Sheet1!$A$2:$A$22000=$A$1,ROW(Sheet1!$B$2:$B$22000)),ROW($A171:$F171))-1,3)</f>
        <v>0</v>
      </c>
      <c r="E173" s="4">
        <f t="array" ref="E173">INDEX(Sheet1!$B$2:$F$22000,SMALL(IF(Sheet1!$A$2:$A$22000=$A$1,ROW(Sheet1!$B$2:$B$22000)),ROW($A171:$F171))-1,4)</f>
        <v>0</v>
      </c>
      <c r="F173" s="4">
        <f t="array" ref="F173">INDEX(Sheet1!$B$2:$F$22000,SMALL(IF(Sheet1!$A$2:$A$22000=$A$1,ROW(Sheet1!$B$2:$B$22000)),ROW($A171:$F171))-1,5)</f>
        <v>0</v>
      </c>
      <c r="M173" s="9">
        <v>171</v>
      </c>
      <c r="N173" s="10">
        <f t="shared" si="15"/>
        <v>0</v>
      </c>
      <c r="O173" s="11">
        <f t="shared" si="16"/>
        <v>0</v>
      </c>
      <c r="P173" s="12">
        <f t="shared" si="17"/>
        <v>0</v>
      </c>
      <c r="Q173" s="13">
        <f t="shared" si="18"/>
        <v>0</v>
      </c>
      <c r="V173" s="14">
        <f t="shared" si="13"/>
        <v>0.333984375</v>
      </c>
      <c r="W173" s="10">
        <f t="shared" si="19"/>
        <v>0</v>
      </c>
      <c r="X173" s="11">
        <f t="shared" si="19"/>
        <v>0</v>
      </c>
      <c r="Y173" s="12">
        <f t="shared" si="19"/>
        <v>0</v>
      </c>
      <c r="Z173" s="13">
        <f t="shared" si="14"/>
        <v>0</v>
      </c>
    </row>
    <row r="174" spans="2:26" x14ac:dyDescent="0.25">
      <c r="B174" s="4">
        <v>172</v>
      </c>
      <c r="C174" s="4">
        <f t="array" ref="C174">INDEX(Sheet1!$B$2:$F$22000,SMALL(IF(Sheet1!$A$2:$A$22000=$A$1,ROW(Sheet1!$B$2:$B$22000)),ROW($A172:$F172))-1,2)</f>
        <v>0</v>
      </c>
      <c r="D174" s="4">
        <f t="array" ref="D174">INDEX(Sheet1!$B$2:$F$22000,SMALL(IF(Sheet1!$A$2:$A$22000=$A$1,ROW(Sheet1!$B$2:$B$22000)),ROW($A172:$F172))-1,3)</f>
        <v>0</v>
      </c>
      <c r="E174" s="4">
        <f t="array" ref="E174">INDEX(Sheet1!$B$2:$F$22000,SMALL(IF(Sheet1!$A$2:$A$22000=$A$1,ROW(Sheet1!$B$2:$B$22000)),ROW($A172:$F172))-1,4)</f>
        <v>0</v>
      </c>
      <c r="F174" s="4">
        <f t="array" ref="F174">INDEX(Sheet1!$B$2:$F$22000,SMALL(IF(Sheet1!$A$2:$A$22000=$A$1,ROW(Sheet1!$B$2:$B$22000)),ROW($A172:$F172))-1,5)</f>
        <v>0</v>
      </c>
      <c r="M174" s="9">
        <v>172</v>
      </c>
      <c r="N174" s="10">
        <f t="shared" si="15"/>
        <v>0</v>
      </c>
      <c r="O174" s="11">
        <f t="shared" si="16"/>
        <v>0</v>
      </c>
      <c r="P174" s="12">
        <f t="shared" si="17"/>
        <v>0</v>
      </c>
      <c r="Q174" s="13">
        <f t="shared" si="18"/>
        <v>0</v>
      </c>
      <c r="V174" s="14">
        <f t="shared" si="13"/>
        <v>0.3359375</v>
      </c>
      <c r="W174" s="10">
        <f t="shared" si="19"/>
        <v>0</v>
      </c>
      <c r="X174" s="11">
        <f t="shared" si="19"/>
        <v>0</v>
      </c>
      <c r="Y174" s="12">
        <f t="shared" si="19"/>
        <v>0</v>
      </c>
      <c r="Z174" s="13">
        <f t="shared" si="14"/>
        <v>0</v>
      </c>
    </row>
    <row r="175" spans="2:26" x14ac:dyDescent="0.25">
      <c r="B175" s="4">
        <v>173</v>
      </c>
      <c r="C175" s="4">
        <f t="array" ref="C175">INDEX(Sheet1!$B$2:$F$22000,SMALL(IF(Sheet1!$A$2:$A$22000=$A$1,ROW(Sheet1!$B$2:$B$22000)),ROW($A173:$F173))-1,2)</f>
        <v>0</v>
      </c>
      <c r="D175" s="4">
        <f t="array" ref="D175">INDEX(Sheet1!$B$2:$F$22000,SMALL(IF(Sheet1!$A$2:$A$22000=$A$1,ROW(Sheet1!$B$2:$B$22000)),ROW($A173:$F173))-1,3)</f>
        <v>0</v>
      </c>
      <c r="E175" s="4">
        <f t="array" ref="E175">INDEX(Sheet1!$B$2:$F$22000,SMALL(IF(Sheet1!$A$2:$A$22000=$A$1,ROW(Sheet1!$B$2:$B$22000)),ROW($A173:$F173))-1,4)</f>
        <v>0</v>
      </c>
      <c r="F175" s="4">
        <f t="array" ref="F175">INDEX(Sheet1!$B$2:$F$22000,SMALL(IF(Sheet1!$A$2:$A$22000=$A$1,ROW(Sheet1!$B$2:$B$22000)),ROW($A173:$F173))-1,5)</f>
        <v>0</v>
      </c>
      <c r="M175" s="9">
        <v>173</v>
      </c>
      <c r="N175" s="10">
        <f t="shared" si="15"/>
        <v>0</v>
      </c>
      <c r="O175" s="11">
        <f t="shared" si="16"/>
        <v>0</v>
      </c>
      <c r="P175" s="12">
        <f t="shared" si="17"/>
        <v>0</v>
      </c>
      <c r="Q175" s="13">
        <f t="shared" si="18"/>
        <v>0</v>
      </c>
      <c r="V175" s="14">
        <f t="shared" si="13"/>
        <v>0.337890625</v>
      </c>
      <c r="W175" s="10">
        <f t="shared" si="19"/>
        <v>0</v>
      </c>
      <c r="X175" s="11">
        <f t="shared" si="19"/>
        <v>0</v>
      </c>
      <c r="Y175" s="12">
        <f t="shared" si="19"/>
        <v>0</v>
      </c>
      <c r="Z175" s="13">
        <f t="shared" si="14"/>
        <v>0</v>
      </c>
    </row>
    <row r="176" spans="2:26" x14ac:dyDescent="0.25">
      <c r="B176" s="4">
        <v>174</v>
      </c>
      <c r="C176" s="4">
        <f t="array" ref="C176">INDEX(Sheet1!$B$2:$F$22000,SMALL(IF(Sheet1!$A$2:$A$22000=$A$1,ROW(Sheet1!$B$2:$B$22000)),ROW($A174:$F174))-1,2)</f>
        <v>0</v>
      </c>
      <c r="D176" s="4">
        <f t="array" ref="D176">INDEX(Sheet1!$B$2:$F$22000,SMALL(IF(Sheet1!$A$2:$A$22000=$A$1,ROW(Sheet1!$B$2:$B$22000)),ROW($A174:$F174))-1,3)</f>
        <v>0</v>
      </c>
      <c r="E176" s="4">
        <f t="array" ref="E176">INDEX(Sheet1!$B$2:$F$22000,SMALL(IF(Sheet1!$A$2:$A$22000=$A$1,ROW(Sheet1!$B$2:$B$22000)),ROW($A174:$F174))-1,4)</f>
        <v>0</v>
      </c>
      <c r="F176" s="4">
        <f t="array" ref="F176">INDEX(Sheet1!$B$2:$F$22000,SMALL(IF(Sheet1!$A$2:$A$22000=$A$1,ROW(Sheet1!$B$2:$B$22000)),ROW($A174:$F174))-1,5)</f>
        <v>0</v>
      </c>
      <c r="M176" s="9">
        <v>174</v>
      </c>
      <c r="N176" s="10">
        <f t="shared" si="15"/>
        <v>0</v>
      </c>
      <c r="O176" s="11">
        <f t="shared" si="16"/>
        <v>0</v>
      </c>
      <c r="P176" s="12">
        <f t="shared" si="17"/>
        <v>0</v>
      </c>
      <c r="Q176" s="13">
        <f t="shared" si="18"/>
        <v>0</v>
      </c>
      <c r="V176" s="14">
        <f t="shared" si="13"/>
        <v>0.33984375</v>
      </c>
      <c r="W176" s="10">
        <f t="shared" si="19"/>
        <v>0</v>
      </c>
      <c r="X176" s="11">
        <f t="shared" si="19"/>
        <v>0</v>
      </c>
      <c r="Y176" s="12">
        <f t="shared" si="19"/>
        <v>0</v>
      </c>
      <c r="Z176" s="13">
        <f t="shared" si="14"/>
        <v>0</v>
      </c>
    </row>
    <row r="177" spans="2:26" x14ac:dyDescent="0.25">
      <c r="B177" s="4">
        <v>175</v>
      </c>
      <c r="C177" s="4">
        <f t="array" ref="C177">INDEX(Sheet1!$B$2:$F$22000,SMALL(IF(Sheet1!$A$2:$A$22000=$A$1,ROW(Sheet1!$B$2:$B$22000)),ROW($A175:$F175))-1,2)</f>
        <v>0</v>
      </c>
      <c r="D177" s="4">
        <f t="array" ref="D177">INDEX(Sheet1!$B$2:$F$22000,SMALL(IF(Sheet1!$A$2:$A$22000=$A$1,ROW(Sheet1!$B$2:$B$22000)),ROW($A175:$F175))-1,3)</f>
        <v>0</v>
      </c>
      <c r="E177" s="4">
        <f t="array" ref="E177">INDEX(Sheet1!$B$2:$F$22000,SMALL(IF(Sheet1!$A$2:$A$22000=$A$1,ROW(Sheet1!$B$2:$B$22000)),ROW($A175:$F175))-1,4)</f>
        <v>0</v>
      </c>
      <c r="F177" s="4">
        <f t="array" ref="F177">INDEX(Sheet1!$B$2:$F$22000,SMALL(IF(Sheet1!$A$2:$A$22000=$A$1,ROW(Sheet1!$B$2:$B$22000)),ROW($A175:$F175))-1,5)</f>
        <v>0</v>
      </c>
      <c r="M177" s="9">
        <v>175</v>
      </c>
      <c r="N177" s="10">
        <f t="shared" si="15"/>
        <v>0</v>
      </c>
      <c r="O177" s="11">
        <f t="shared" si="16"/>
        <v>0</v>
      </c>
      <c r="P177" s="12">
        <f t="shared" si="17"/>
        <v>0</v>
      </c>
      <c r="Q177" s="13">
        <f t="shared" si="18"/>
        <v>0</v>
      </c>
      <c r="V177" s="14">
        <f t="shared" si="13"/>
        <v>0.341796875</v>
      </c>
      <c r="W177" s="10">
        <f t="shared" si="19"/>
        <v>0</v>
      </c>
      <c r="X177" s="11">
        <f t="shared" si="19"/>
        <v>0</v>
      </c>
      <c r="Y177" s="12">
        <f t="shared" si="19"/>
        <v>0</v>
      </c>
      <c r="Z177" s="13">
        <f t="shared" si="14"/>
        <v>0</v>
      </c>
    </row>
    <row r="178" spans="2:26" x14ac:dyDescent="0.25">
      <c r="B178" s="4">
        <v>176</v>
      </c>
      <c r="C178" s="4">
        <f t="array" ref="C178">INDEX(Sheet1!$B$2:$F$22000,SMALL(IF(Sheet1!$A$2:$A$22000=$A$1,ROW(Sheet1!$B$2:$B$22000)),ROW($A176:$F176))-1,2)</f>
        <v>0</v>
      </c>
      <c r="D178" s="4">
        <f t="array" ref="D178">INDEX(Sheet1!$B$2:$F$22000,SMALL(IF(Sheet1!$A$2:$A$22000=$A$1,ROW(Sheet1!$B$2:$B$22000)),ROW($A176:$F176))-1,3)</f>
        <v>0</v>
      </c>
      <c r="E178" s="4">
        <f t="array" ref="E178">INDEX(Sheet1!$B$2:$F$22000,SMALL(IF(Sheet1!$A$2:$A$22000=$A$1,ROW(Sheet1!$B$2:$B$22000)),ROW($A176:$F176))-1,4)</f>
        <v>0</v>
      </c>
      <c r="F178" s="4">
        <f t="array" ref="F178">INDEX(Sheet1!$B$2:$F$22000,SMALL(IF(Sheet1!$A$2:$A$22000=$A$1,ROW(Sheet1!$B$2:$B$22000)),ROW($A176:$F176))-1,5)</f>
        <v>0</v>
      </c>
      <c r="M178" s="9">
        <v>176</v>
      </c>
      <c r="N178" s="10">
        <f t="shared" si="15"/>
        <v>0</v>
      </c>
      <c r="O178" s="11">
        <f t="shared" si="16"/>
        <v>0</v>
      </c>
      <c r="P178" s="12">
        <f t="shared" si="17"/>
        <v>0</v>
      </c>
      <c r="Q178" s="13">
        <f t="shared" si="18"/>
        <v>0</v>
      </c>
      <c r="V178" s="14">
        <f t="shared" si="13"/>
        <v>0.34375</v>
      </c>
      <c r="W178" s="10">
        <f t="shared" si="19"/>
        <v>0</v>
      </c>
      <c r="X178" s="11">
        <f t="shared" si="19"/>
        <v>0</v>
      </c>
      <c r="Y178" s="12">
        <f t="shared" si="19"/>
        <v>0</v>
      </c>
      <c r="Z178" s="13">
        <f t="shared" si="14"/>
        <v>0</v>
      </c>
    </row>
    <row r="179" spans="2:26" x14ac:dyDescent="0.25">
      <c r="B179" s="4">
        <v>177</v>
      </c>
      <c r="C179" s="4">
        <f t="array" ref="C179">INDEX(Sheet1!$B$2:$F$22000,SMALL(IF(Sheet1!$A$2:$A$22000=$A$1,ROW(Sheet1!$B$2:$B$22000)),ROW($A177:$F177))-1,2)</f>
        <v>0</v>
      </c>
      <c r="D179" s="4">
        <f t="array" ref="D179">INDEX(Sheet1!$B$2:$F$22000,SMALL(IF(Sheet1!$A$2:$A$22000=$A$1,ROW(Sheet1!$B$2:$B$22000)),ROW($A177:$F177))-1,3)</f>
        <v>0</v>
      </c>
      <c r="E179" s="4">
        <f t="array" ref="E179">INDEX(Sheet1!$B$2:$F$22000,SMALL(IF(Sheet1!$A$2:$A$22000=$A$1,ROW(Sheet1!$B$2:$B$22000)),ROW($A177:$F177))-1,4)</f>
        <v>0</v>
      </c>
      <c r="F179" s="4">
        <f t="array" ref="F179">INDEX(Sheet1!$B$2:$F$22000,SMALL(IF(Sheet1!$A$2:$A$22000=$A$1,ROW(Sheet1!$B$2:$B$22000)),ROW($A177:$F177))-1,5)</f>
        <v>0</v>
      </c>
      <c r="M179" s="9">
        <v>177</v>
      </c>
      <c r="N179" s="10">
        <f t="shared" si="15"/>
        <v>0</v>
      </c>
      <c r="O179" s="11">
        <f t="shared" si="16"/>
        <v>0</v>
      </c>
      <c r="P179" s="12">
        <f t="shared" si="17"/>
        <v>0</v>
      </c>
      <c r="Q179" s="13">
        <f t="shared" si="18"/>
        <v>0</v>
      </c>
      <c r="V179" s="14">
        <f t="shared" si="13"/>
        <v>0.345703125</v>
      </c>
      <c r="W179" s="10">
        <f t="shared" si="19"/>
        <v>0</v>
      </c>
      <c r="X179" s="11">
        <f t="shared" si="19"/>
        <v>0</v>
      </c>
      <c r="Y179" s="12">
        <f t="shared" si="19"/>
        <v>0</v>
      </c>
      <c r="Z179" s="13">
        <f t="shared" si="14"/>
        <v>0</v>
      </c>
    </row>
    <row r="180" spans="2:26" x14ac:dyDescent="0.25">
      <c r="B180" s="4">
        <v>178</v>
      </c>
      <c r="C180" s="4">
        <f t="array" ref="C180">INDEX(Sheet1!$B$2:$F$22000,SMALL(IF(Sheet1!$A$2:$A$22000=$A$1,ROW(Sheet1!$B$2:$B$22000)),ROW($A178:$F178))-1,2)</f>
        <v>0</v>
      </c>
      <c r="D180" s="4">
        <f t="array" ref="D180">INDEX(Sheet1!$B$2:$F$22000,SMALL(IF(Sheet1!$A$2:$A$22000=$A$1,ROW(Sheet1!$B$2:$B$22000)),ROW($A178:$F178))-1,3)</f>
        <v>0</v>
      </c>
      <c r="E180" s="4">
        <f t="array" ref="E180">INDEX(Sheet1!$B$2:$F$22000,SMALL(IF(Sheet1!$A$2:$A$22000=$A$1,ROW(Sheet1!$B$2:$B$22000)),ROW($A178:$F178))-1,4)</f>
        <v>0</v>
      </c>
      <c r="F180" s="4">
        <f t="array" ref="F180">INDEX(Sheet1!$B$2:$F$22000,SMALL(IF(Sheet1!$A$2:$A$22000=$A$1,ROW(Sheet1!$B$2:$B$22000)),ROW($A178:$F178))-1,5)</f>
        <v>0</v>
      </c>
      <c r="M180" s="9">
        <v>178</v>
      </c>
      <c r="N180" s="10">
        <f t="shared" si="15"/>
        <v>0</v>
      </c>
      <c r="O180" s="11">
        <f t="shared" si="16"/>
        <v>0</v>
      </c>
      <c r="P180" s="12">
        <f t="shared" si="17"/>
        <v>0</v>
      </c>
      <c r="Q180" s="13">
        <f t="shared" si="18"/>
        <v>0</v>
      </c>
      <c r="V180" s="14">
        <f t="shared" si="13"/>
        <v>0.34765625</v>
      </c>
      <c r="W180" s="10">
        <f t="shared" si="19"/>
        <v>0</v>
      </c>
      <c r="X180" s="11">
        <f t="shared" si="19"/>
        <v>0</v>
      </c>
      <c r="Y180" s="12">
        <f t="shared" si="19"/>
        <v>0</v>
      </c>
      <c r="Z180" s="13">
        <f t="shared" si="14"/>
        <v>0</v>
      </c>
    </row>
    <row r="181" spans="2:26" x14ac:dyDescent="0.25">
      <c r="B181" s="4">
        <v>179</v>
      </c>
      <c r="C181" s="4">
        <f t="array" ref="C181">INDEX(Sheet1!$B$2:$F$22000,SMALL(IF(Sheet1!$A$2:$A$22000=$A$1,ROW(Sheet1!$B$2:$B$22000)),ROW($A179:$F179))-1,2)</f>
        <v>0</v>
      </c>
      <c r="D181" s="4">
        <f t="array" ref="D181">INDEX(Sheet1!$B$2:$F$22000,SMALL(IF(Sheet1!$A$2:$A$22000=$A$1,ROW(Sheet1!$B$2:$B$22000)),ROW($A179:$F179))-1,3)</f>
        <v>0</v>
      </c>
      <c r="E181" s="4">
        <f t="array" ref="E181">INDEX(Sheet1!$B$2:$F$22000,SMALL(IF(Sheet1!$A$2:$A$22000=$A$1,ROW(Sheet1!$B$2:$B$22000)),ROW($A179:$F179))-1,4)</f>
        <v>0</v>
      </c>
      <c r="F181" s="4">
        <f t="array" ref="F181">INDEX(Sheet1!$B$2:$F$22000,SMALL(IF(Sheet1!$A$2:$A$22000=$A$1,ROW(Sheet1!$B$2:$B$22000)),ROW($A179:$F179))-1,5)</f>
        <v>0</v>
      </c>
      <c r="M181" s="9">
        <v>179</v>
      </c>
      <c r="N181" s="10">
        <f t="shared" si="15"/>
        <v>0</v>
      </c>
      <c r="O181" s="11">
        <f t="shared" si="16"/>
        <v>0</v>
      </c>
      <c r="P181" s="12">
        <f t="shared" si="17"/>
        <v>0</v>
      </c>
      <c r="Q181" s="13">
        <f t="shared" si="18"/>
        <v>0</v>
      </c>
      <c r="V181" s="14">
        <f t="shared" si="13"/>
        <v>0.349609375</v>
      </c>
      <c r="W181" s="10">
        <f t="shared" si="19"/>
        <v>0</v>
      </c>
      <c r="X181" s="11">
        <f t="shared" si="19"/>
        <v>0</v>
      </c>
      <c r="Y181" s="12">
        <f t="shared" si="19"/>
        <v>0</v>
      </c>
      <c r="Z181" s="13">
        <f t="shared" si="14"/>
        <v>0</v>
      </c>
    </row>
    <row r="182" spans="2:26" x14ac:dyDescent="0.25">
      <c r="B182" s="4">
        <v>180</v>
      </c>
      <c r="C182" s="4">
        <f t="array" ref="C182">INDEX(Sheet1!$B$2:$F$22000,SMALL(IF(Sheet1!$A$2:$A$22000=$A$1,ROW(Sheet1!$B$2:$B$22000)),ROW($A180:$F180))-1,2)</f>
        <v>0</v>
      </c>
      <c r="D182" s="4">
        <f t="array" ref="D182">INDEX(Sheet1!$B$2:$F$22000,SMALL(IF(Sheet1!$A$2:$A$22000=$A$1,ROW(Sheet1!$B$2:$B$22000)),ROW($A180:$F180))-1,3)</f>
        <v>0</v>
      </c>
      <c r="E182" s="4">
        <f t="array" ref="E182">INDEX(Sheet1!$B$2:$F$22000,SMALL(IF(Sheet1!$A$2:$A$22000=$A$1,ROW(Sheet1!$B$2:$B$22000)),ROW($A180:$F180))-1,4)</f>
        <v>0</v>
      </c>
      <c r="F182" s="4">
        <f t="array" ref="F182">INDEX(Sheet1!$B$2:$F$22000,SMALL(IF(Sheet1!$A$2:$A$22000=$A$1,ROW(Sheet1!$B$2:$B$22000)),ROW($A180:$F180))-1,5)</f>
        <v>0</v>
      </c>
      <c r="M182" s="9">
        <v>180</v>
      </c>
      <c r="N182" s="10">
        <f t="shared" si="15"/>
        <v>0</v>
      </c>
      <c r="O182" s="11">
        <f t="shared" si="16"/>
        <v>0</v>
      </c>
      <c r="P182" s="12">
        <f t="shared" si="17"/>
        <v>0</v>
      </c>
      <c r="Q182" s="13">
        <f t="shared" si="18"/>
        <v>0</v>
      </c>
      <c r="V182" s="14">
        <f t="shared" si="13"/>
        <v>0.3515625</v>
      </c>
      <c r="W182" s="10">
        <f t="shared" si="19"/>
        <v>0</v>
      </c>
      <c r="X182" s="11">
        <f t="shared" si="19"/>
        <v>0</v>
      </c>
      <c r="Y182" s="12">
        <f t="shared" si="19"/>
        <v>0</v>
      </c>
      <c r="Z182" s="13">
        <f t="shared" si="14"/>
        <v>0</v>
      </c>
    </row>
    <row r="183" spans="2:26" x14ac:dyDescent="0.25">
      <c r="B183" s="4">
        <v>181</v>
      </c>
      <c r="C183" s="4">
        <f t="array" ref="C183">INDEX(Sheet1!$B$2:$F$22000,SMALL(IF(Sheet1!$A$2:$A$22000=$A$1,ROW(Sheet1!$B$2:$B$22000)),ROW($A181:$F181))-1,2)</f>
        <v>0</v>
      </c>
      <c r="D183" s="4">
        <f t="array" ref="D183">INDEX(Sheet1!$B$2:$F$22000,SMALL(IF(Sheet1!$A$2:$A$22000=$A$1,ROW(Sheet1!$B$2:$B$22000)),ROW($A181:$F181))-1,3)</f>
        <v>0</v>
      </c>
      <c r="E183" s="4">
        <f t="array" ref="E183">INDEX(Sheet1!$B$2:$F$22000,SMALL(IF(Sheet1!$A$2:$A$22000=$A$1,ROW(Sheet1!$B$2:$B$22000)),ROW($A181:$F181))-1,4)</f>
        <v>0</v>
      </c>
      <c r="F183" s="4">
        <f t="array" ref="F183">INDEX(Sheet1!$B$2:$F$22000,SMALL(IF(Sheet1!$A$2:$A$22000=$A$1,ROW(Sheet1!$B$2:$B$22000)),ROW($A181:$F181))-1,5)</f>
        <v>0</v>
      </c>
      <c r="M183" s="9">
        <v>181</v>
      </c>
      <c r="N183" s="10">
        <f t="shared" si="15"/>
        <v>0</v>
      </c>
      <c r="O183" s="11">
        <f t="shared" si="16"/>
        <v>0</v>
      </c>
      <c r="P183" s="12">
        <f t="shared" si="17"/>
        <v>0</v>
      </c>
      <c r="Q183" s="13">
        <f t="shared" si="18"/>
        <v>0</v>
      </c>
      <c r="V183" s="14">
        <f t="shared" si="13"/>
        <v>0.353515625</v>
      </c>
      <c r="W183" s="10">
        <f t="shared" si="19"/>
        <v>0</v>
      </c>
      <c r="X183" s="11">
        <f t="shared" si="19"/>
        <v>0</v>
      </c>
      <c r="Y183" s="12">
        <f t="shared" si="19"/>
        <v>0</v>
      </c>
      <c r="Z183" s="13">
        <f t="shared" si="14"/>
        <v>0</v>
      </c>
    </row>
    <row r="184" spans="2:26" x14ac:dyDescent="0.25">
      <c r="B184" s="4">
        <v>182</v>
      </c>
      <c r="C184" s="4">
        <f t="array" ref="C184">INDEX(Sheet1!$B$2:$F$22000,SMALL(IF(Sheet1!$A$2:$A$22000=$A$1,ROW(Sheet1!$B$2:$B$22000)),ROW($A182:$F182))-1,2)</f>
        <v>0</v>
      </c>
      <c r="D184" s="4">
        <f t="array" ref="D184">INDEX(Sheet1!$B$2:$F$22000,SMALL(IF(Sheet1!$A$2:$A$22000=$A$1,ROW(Sheet1!$B$2:$B$22000)),ROW($A182:$F182))-1,3)</f>
        <v>0</v>
      </c>
      <c r="E184" s="4">
        <f t="array" ref="E184">INDEX(Sheet1!$B$2:$F$22000,SMALL(IF(Sheet1!$A$2:$A$22000=$A$1,ROW(Sheet1!$B$2:$B$22000)),ROW($A182:$F182))-1,4)</f>
        <v>0</v>
      </c>
      <c r="F184" s="4">
        <f t="array" ref="F184">INDEX(Sheet1!$B$2:$F$22000,SMALL(IF(Sheet1!$A$2:$A$22000=$A$1,ROW(Sheet1!$B$2:$B$22000)),ROW($A182:$F182))-1,5)</f>
        <v>0</v>
      </c>
      <c r="M184" s="9">
        <v>182</v>
      </c>
      <c r="N184" s="10">
        <f t="shared" si="15"/>
        <v>0</v>
      </c>
      <c r="O184" s="11">
        <f t="shared" si="16"/>
        <v>0</v>
      </c>
      <c r="P184" s="12">
        <f t="shared" si="17"/>
        <v>0</v>
      </c>
      <c r="Q184" s="13">
        <f t="shared" si="18"/>
        <v>0</v>
      </c>
      <c r="V184" s="14">
        <f t="shared" si="13"/>
        <v>0.35546875</v>
      </c>
      <c r="W184" s="10">
        <f t="shared" si="19"/>
        <v>0</v>
      </c>
      <c r="X184" s="11">
        <f t="shared" si="19"/>
        <v>0</v>
      </c>
      <c r="Y184" s="12">
        <f t="shared" si="19"/>
        <v>0</v>
      </c>
      <c r="Z184" s="13">
        <f t="shared" si="14"/>
        <v>0</v>
      </c>
    </row>
    <row r="185" spans="2:26" x14ac:dyDescent="0.25">
      <c r="B185" s="4">
        <v>183</v>
      </c>
      <c r="C185" s="4">
        <f t="array" ref="C185">INDEX(Sheet1!$B$2:$F$22000,SMALL(IF(Sheet1!$A$2:$A$22000=$A$1,ROW(Sheet1!$B$2:$B$22000)),ROW($A183:$F183))-1,2)</f>
        <v>0</v>
      </c>
      <c r="D185" s="4">
        <f t="array" ref="D185">INDEX(Sheet1!$B$2:$F$22000,SMALL(IF(Sheet1!$A$2:$A$22000=$A$1,ROW(Sheet1!$B$2:$B$22000)),ROW($A183:$F183))-1,3)</f>
        <v>0</v>
      </c>
      <c r="E185" s="4">
        <f t="array" ref="E185">INDEX(Sheet1!$B$2:$F$22000,SMALL(IF(Sheet1!$A$2:$A$22000=$A$1,ROW(Sheet1!$B$2:$B$22000)),ROW($A183:$F183))-1,4)</f>
        <v>0</v>
      </c>
      <c r="F185" s="4">
        <f t="array" ref="F185">INDEX(Sheet1!$B$2:$F$22000,SMALL(IF(Sheet1!$A$2:$A$22000=$A$1,ROW(Sheet1!$B$2:$B$22000)),ROW($A183:$F183))-1,5)</f>
        <v>0</v>
      </c>
      <c r="M185" s="9">
        <v>183</v>
      </c>
      <c r="N185" s="10">
        <f t="shared" si="15"/>
        <v>0</v>
      </c>
      <c r="O185" s="11">
        <f t="shared" si="16"/>
        <v>0</v>
      </c>
      <c r="P185" s="12">
        <f t="shared" si="17"/>
        <v>0</v>
      </c>
      <c r="Q185" s="13">
        <f t="shared" si="18"/>
        <v>0</v>
      </c>
      <c r="V185" s="14">
        <f t="shared" si="13"/>
        <v>0.357421875</v>
      </c>
      <c r="W185" s="10">
        <f t="shared" si="19"/>
        <v>0</v>
      </c>
      <c r="X185" s="11">
        <f t="shared" si="19"/>
        <v>0</v>
      </c>
      <c r="Y185" s="12">
        <f t="shared" si="19"/>
        <v>0</v>
      </c>
      <c r="Z185" s="13">
        <f t="shared" si="14"/>
        <v>0</v>
      </c>
    </row>
    <row r="186" spans="2:26" x14ac:dyDescent="0.25">
      <c r="B186" s="4">
        <v>184</v>
      </c>
      <c r="C186" s="4">
        <f t="array" ref="C186">INDEX(Sheet1!$B$2:$F$22000,SMALL(IF(Sheet1!$A$2:$A$22000=$A$1,ROW(Sheet1!$B$2:$B$22000)),ROW($A184:$F184))-1,2)</f>
        <v>0</v>
      </c>
      <c r="D186" s="4">
        <f t="array" ref="D186">INDEX(Sheet1!$B$2:$F$22000,SMALL(IF(Sheet1!$A$2:$A$22000=$A$1,ROW(Sheet1!$B$2:$B$22000)),ROW($A184:$F184))-1,3)</f>
        <v>0</v>
      </c>
      <c r="E186" s="4">
        <f t="array" ref="E186">INDEX(Sheet1!$B$2:$F$22000,SMALL(IF(Sheet1!$A$2:$A$22000=$A$1,ROW(Sheet1!$B$2:$B$22000)),ROW($A184:$F184))-1,4)</f>
        <v>0</v>
      </c>
      <c r="F186" s="4">
        <f t="array" ref="F186">INDEX(Sheet1!$B$2:$F$22000,SMALL(IF(Sheet1!$A$2:$A$22000=$A$1,ROW(Sheet1!$B$2:$B$22000)),ROW($A184:$F184))-1,5)</f>
        <v>0</v>
      </c>
      <c r="M186" s="9">
        <v>184</v>
      </c>
      <c r="N186" s="10">
        <f t="shared" si="15"/>
        <v>0</v>
      </c>
      <c r="O186" s="11">
        <f t="shared" si="16"/>
        <v>0</v>
      </c>
      <c r="P186" s="12">
        <f t="shared" si="17"/>
        <v>0</v>
      </c>
      <c r="Q186" s="13">
        <f t="shared" si="18"/>
        <v>0</v>
      </c>
      <c r="V186" s="14">
        <f t="shared" si="13"/>
        <v>0.359375</v>
      </c>
      <c r="W186" s="10">
        <f t="shared" si="19"/>
        <v>0</v>
      </c>
      <c r="X186" s="11">
        <f t="shared" si="19"/>
        <v>0</v>
      </c>
      <c r="Y186" s="12">
        <f t="shared" si="19"/>
        <v>0</v>
      </c>
      <c r="Z186" s="13">
        <f t="shared" si="14"/>
        <v>0</v>
      </c>
    </row>
    <row r="187" spans="2:26" x14ac:dyDescent="0.25">
      <c r="B187" s="4">
        <v>185</v>
      </c>
      <c r="C187" s="4">
        <f t="array" ref="C187">INDEX(Sheet1!$B$2:$F$22000,SMALL(IF(Sheet1!$A$2:$A$22000=$A$1,ROW(Sheet1!$B$2:$B$22000)),ROW($A185:$F185))-1,2)</f>
        <v>0</v>
      </c>
      <c r="D187" s="4">
        <f t="array" ref="D187">INDEX(Sheet1!$B$2:$F$22000,SMALL(IF(Sheet1!$A$2:$A$22000=$A$1,ROW(Sheet1!$B$2:$B$22000)),ROW($A185:$F185))-1,3)</f>
        <v>0</v>
      </c>
      <c r="E187" s="4">
        <f t="array" ref="E187">INDEX(Sheet1!$B$2:$F$22000,SMALL(IF(Sheet1!$A$2:$A$22000=$A$1,ROW(Sheet1!$B$2:$B$22000)),ROW($A185:$F185))-1,4)</f>
        <v>0</v>
      </c>
      <c r="F187" s="4">
        <f t="array" ref="F187">INDEX(Sheet1!$B$2:$F$22000,SMALL(IF(Sheet1!$A$2:$A$22000=$A$1,ROW(Sheet1!$B$2:$B$22000)),ROW($A185:$F185))-1,5)</f>
        <v>0</v>
      </c>
      <c r="M187" s="9">
        <v>185</v>
      </c>
      <c r="N187" s="10">
        <f t="shared" si="15"/>
        <v>0</v>
      </c>
      <c r="O187" s="11">
        <f t="shared" si="16"/>
        <v>0</v>
      </c>
      <c r="P187" s="12">
        <f t="shared" si="17"/>
        <v>0</v>
      </c>
      <c r="Q187" s="13">
        <f t="shared" si="18"/>
        <v>0</v>
      </c>
      <c r="V187" s="14">
        <f t="shared" si="13"/>
        <v>0.361328125</v>
      </c>
      <c r="W187" s="10">
        <f t="shared" si="19"/>
        <v>0</v>
      </c>
      <c r="X187" s="11">
        <f t="shared" si="19"/>
        <v>0</v>
      </c>
      <c r="Y187" s="12">
        <f t="shared" si="19"/>
        <v>0</v>
      </c>
      <c r="Z187" s="13">
        <f t="shared" si="14"/>
        <v>0</v>
      </c>
    </row>
    <row r="188" spans="2:26" x14ac:dyDescent="0.25">
      <c r="B188" s="4">
        <v>186</v>
      </c>
      <c r="C188" s="4">
        <f t="array" ref="C188">INDEX(Sheet1!$B$2:$F$22000,SMALL(IF(Sheet1!$A$2:$A$22000=$A$1,ROW(Sheet1!$B$2:$B$22000)),ROW($A186:$F186))-1,2)</f>
        <v>0</v>
      </c>
      <c r="D188" s="4">
        <f t="array" ref="D188">INDEX(Sheet1!$B$2:$F$22000,SMALL(IF(Sheet1!$A$2:$A$22000=$A$1,ROW(Sheet1!$B$2:$B$22000)),ROW($A186:$F186))-1,3)</f>
        <v>0</v>
      </c>
      <c r="E188" s="4">
        <f t="array" ref="E188">INDEX(Sheet1!$B$2:$F$22000,SMALL(IF(Sheet1!$A$2:$A$22000=$A$1,ROW(Sheet1!$B$2:$B$22000)),ROW($A186:$F186))-1,4)</f>
        <v>0</v>
      </c>
      <c r="F188" s="4">
        <f t="array" ref="F188">INDEX(Sheet1!$B$2:$F$22000,SMALL(IF(Sheet1!$A$2:$A$22000=$A$1,ROW(Sheet1!$B$2:$B$22000)),ROW($A186:$F186))-1,5)</f>
        <v>0</v>
      </c>
      <c r="M188" s="9">
        <v>186</v>
      </c>
      <c r="N188" s="10">
        <f t="shared" si="15"/>
        <v>0</v>
      </c>
      <c r="O188" s="11">
        <f t="shared" si="16"/>
        <v>0</v>
      </c>
      <c r="P188" s="12">
        <f t="shared" si="17"/>
        <v>0</v>
      </c>
      <c r="Q188" s="13">
        <f t="shared" si="18"/>
        <v>0</v>
      </c>
      <c r="V188" s="14">
        <f t="shared" si="13"/>
        <v>0.36328125</v>
      </c>
      <c r="W188" s="10">
        <f t="shared" si="19"/>
        <v>0</v>
      </c>
      <c r="X188" s="11">
        <f t="shared" si="19"/>
        <v>0</v>
      </c>
      <c r="Y188" s="12">
        <f t="shared" si="19"/>
        <v>0</v>
      </c>
      <c r="Z188" s="13">
        <f t="shared" si="14"/>
        <v>0</v>
      </c>
    </row>
    <row r="189" spans="2:26" x14ac:dyDescent="0.25">
      <c r="B189" s="4">
        <v>187</v>
      </c>
      <c r="C189" s="4">
        <f t="array" ref="C189">INDEX(Sheet1!$B$2:$F$22000,SMALL(IF(Sheet1!$A$2:$A$22000=$A$1,ROW(Sheet1!$B$2:$B$22000)),ROW($A187:$F187))-1,2)</f>
        <v>0</v>
      </c>
      <c r="D189" s="4">
        <f t="array" ref="D189">INDEX(Sheet1!$B$2:$F$22000,SMALL(IF(Sheet1!$A$2:$A$22000=$A$1,ROW(Sheet1!$B$2:$B$22000)),ROW($A187:$F187))-1,3)</f>
        <v>0</v>
      </c>
      <c r="E189" s="4">
        <f t="array" ref="E189">INDEX(Sheet1!$B$2:$F$22000,SMALL(IF(Sheet1!$A$2:$A$22000=$A$1,ROW(Sheet1!$B$2:$B$22000)),ROW($A187:$F187))-1,4)</f>
        <v>0</v>
      </c>
      <c r="F189" s="4">
        <f t="array" ref="F189">INDEX(Sheet1!$B$2:$F$22000,SMALL(IF(Sheet1!$A$2:$A$22000=$A$1,ROW(Sheet1!$B$2:$B$22000)),ROW($A187:$F187))-1,5)</f>
        <v>0</v>
      </c>
      <c r="M189" s="9">
        <v>187</v>
      </c>
      <c r="N189" s="10">
        <f t="shared" si="15"/>
        <v>0</v>
      </c>
      <c r="O189" s="11">
        <f t="shared" si="16"/>
        <v>0</v>
      </c>
      <c r="P189" s="12">
        <f t="shared" si="17"/>
        <v>0</v>
      </c>
      <c r="Q189" s="13">
        <f t="shared" si="18"/>
        <v>0</v>
      </c>
      <c r="V189" s="14">
        <f t="shared" si="13"/>
        <v>0.365234375</v>
      </c>
      <c r="W189" s="10">
        <f t="shared" si="19"/>
        <v>0</v>
      </c>
      <c r="X189" s="11">
        <f t="shared" si="19"/>
        <v>0</v>
      </c>
      <c r="Y189" s="12">
        <f t="shared" si="19"/>
        <v>0</v>
      </c>
      <c r="Z189" s="13">
        <f t="shared" si="14"/>
        <v>0</v>
      </c>
    </row>
    <row r="190" spans="2:26" x14ac:dyDescent="0.25">
      <c r="B190" s="4">
        <v>188</v>
      </c>
      <c r="C190" s="4">
        <f t="array" ref="C190">INDEX(Sheet1!$B$2:$F$22000,SMALL(IF(Sheet1!$A$2:$A$22000=$A$1,ROW(Sheet1!$B$2:$B$22000)),ROW($A188:$F188))-1,2)</f>
        <v>0</v>
      </c>
      <c r="D190" s="4">
        <f t="array" ref="D190">INDEX(Sheet1!$B$2:$F$22000,SMALL(IF(Sheet1!$A$2:$A$22000=$A$1,ROW(Sheet1!$B$2:$B$22000)),ROW($A188:$F188))-1,3)</f>
        <v>0</v>
      </c>
      <c r="E190" s="4">
        <f t="array" ref="E190">INDEX(Sheet1!$B$2:$F$22000,SMALL(IF(Sheet1!$A$2:$A$22000=$A$1,ROW(Sheet1!$B$2:$B$22000)),ROW($A188:$F188))-1,4)</f>
        <v>0</v>
      </c>
      <c r="F190" s="4">
        <f t="array" ref="F190">INDEX(Sheet1!$B$2:$F$22000,SMALL(IF(Sheet1!$A$2:$A$22000=$A$1,ROW(Sheet1!$B$2:$B$22000)),ROW($A188:$F188))-1,5)</f>
        <v>0</v>
      </c>
      <c r="M190" s="9">
        <v>188</v>
      </c>
      <c r="N190" s="10">
        <f t="shared" si="15"/>
        <v>0</v>
      </c>
      <c r="O190" s="11">
        <f t="shared" si="16"/>
        <v>0</v>
      </c>
      <c r="P190" s="12">
        <f t="shared" si="17"/>
        <v>0</v>
      </c>
      <c r="Q190" s="13">
        <f t="shared" si="18"/>
        <v>0</v>
      </c>
      <c r="V190" s="14">
        <f t="shared" si="13"/>
        <v>0.3671875</v>
      </c>
      <c r="W190" s="10">
        <f t="shared" si="19"/>
        <v>0</v>
      </c>
      <c r="X190" s="11">
        <f t="shared" si="19"/>
        <v>0</v>
      </c>
      <c r="Y190" s="12">
        <f t="shared" si="19"/>
        <v>0</v>
      </c>
      <c r="Z190" s="13">
        <f t="shared" si="14"/>
        <v>0</v>
      </c>
    </row>
    <row r="191" spans="2:26" x14ac:dyDescent="0.25">
      <c r="B191" s="4">
        <v>189</v>
      </c>
      <c r="C191" s="4">
        <f t="array" ref="C191">INDEX(Sheet1!$B$2:$F$22000,SMALL(IF(Sheet1!$A$2:$A$22000=$A$1,ROW(Sheet1!$B$2:$B$22000)),ROW($A189:$F189))-1,2)</f>
        <v>0</v>
      </c>
      <c r="D191" s="4">
        <f t="array" ref="D191">INDEX(Sheet1!$B$2:$F$22000,SMALL(IF(Sheet1!$A$2:$A$22000=$A$1,ROW(Sheet1!$B$2:$B$22000)),ROW($A189:$F189))-1,3)</f>
        <v>0</v>
      </c>
      <c r="E191" s="4">
        <f t="array" ref="E191">INDEX(Sheet1!$B$2:$F$22000,SMALL(IF(Sheet1!$A$2:$A$22000=$A$1,ROW(Sheet1!$B$2:$B$22000)),ROW($A189:$F189))-1,4)</f>
        <v>0</v>
      </c>
      <c r="F191" s="4">
        <f t="array" ref="F191">INDEX(Sheet1!$B$2:$F$22000,SMALL(IF(Sheet1!$A$2:$A$22000=$A$1,ROW(Sheet1!$B$2:$B$22000)),ROW($A189:$F189))-1,5)</f>
        <v>0</v>
      </c>
      <c r="M191" s="9">
        <v>189</v>
      </c>
      <c r="N191" s="10">
        <f t="shared" si="15"/>
        <v>0</v>
      </c>
      <c r="O191" s="11">
        <f t="shared" si="16"/>
        <v>0</v>
      </c>
      <c r="P191" s="12">
        <f t="shared" si="17"/>
        <v>0</v>
      </c>
      <c r="Q191" s="13">
        <f t="shared" si="18"/>
        <v>0</v>
      </c>
      <c r="V191" s="14">
        <f t="shared" si="13"/>
        <v>0.369140625</v>
      </c>
      <c r="W191" s="10">
        <f t="shared" si="19"/>
        <v>0</v>
      </c>
      <c r="X191" s="11">
        <f t="shared" si="19"/>
        <v>0</v>
      </c>
      <c r="Y191" s="12">
        <f t="shared" si="19"/>
        <v>0</v>
      </c>
      <c r="Z191" s="13">
        <f t="shared" si="14"/>
        <v>0</v>
      </c>
    </row>
    <row r="192" spans="2:26" x14ac:dyDescent="0.25">
      <c r="B192" s="4">
        <v>190</v>
      </c>
      <c r="C192" s="4">
        <f t="array" ref="C192">INDEX(Sheet1!$B$2:$F$22000,SMALL(IF(Sheet1!$A$2:$A$22000=$A$1,ROW(Sheet1!$B$2:$B$22000)),ROW($A190:$F190))-1,2)</f>
        <v>0</v>
      </c>
      <c r="D192" s="4">
        <f t="array" ref="D192">INDEX(Sheet1!$B$2:$F$22000,SMALL(IF(Sheet1!$A$2:$A$22000=$A$1,ROW(Sheet1!$B$2:$B$22000)),ROW($A190:$F190))-1,3)</f>
        <v>0</v>
      </c>
      <c r="E192" s="4">
        <f t="array" ref="E192">INDEX(Sheet1!$B$2:$F$22000,SMALL(IF(Sheet1!$A$2:$A$22000=$A$1,ROW(Sheet1!$B$2:$B$22000)),ROW($A190:$F190))-1,4)</f>
        <v>0</v>
      </c>
      <c r="F192" s="4">
        <f t="array" ref="F192">INDEX(Sheet1!$B$2:$F$22000,SMALL(IF(Sheet1!$A$2:$A$22000=$A$1,ROW(Sheet1!$B$2:$B$22000)),ROW($A190:$F190))-1,5)</f>
        <v>0</v>
      </c>
      <c r="M192" s="9">
        <v>190</v>
      </c>
      <c r="N192" s="10">
        <f t="shared" si="15"/>
        <v>0</v>
      </c>
      <c r="O192" s="11">
        <f t="shared" si="16"/>
        <v>0</v>
      </c>
      <c r="P192" s="12">
        <f t="shared" si="17"/>
        <v>0</v>
      </c>
      <c r="Q192" s="13">
        <f t="shared" si="18"/>
        <v>0</v>
      </c>
      <c r="V192" s="14">
        <f t="shared" si="13"/>
        <v>0.37109375</v>
      </c>
      <c r="W192" s="10">
        <f t="shared" si="19"/>
        <v>0</v>
      </c>
      <c r="X192" s="11">
        <f t="shared" si="19"/>
        <v>0</v>
      </c>
      <c r="Y192" s="12">
        <f t="shared" si="19"/>
        <v>0</v>
      </c>
      <c r="Z192" s="13">
        <f t="shared" si="14"/>
        <v>0</v>
      </c>
    </row>
    <row r="193" spans="2:26" x14ac:dyDescent="0.25">
      <c r="B193" s="4">
        <v>191</v>
      </c>
      <c r="C193" s="4">
        <f t="array" ref="C193">INDEX(Sheet1!$B$2:$F$22000,SMALL(IF(Sheet1!$A$2:$A$22000=$A$1,ROW(Sheet1!$B$2:$B$22000)),ROW($A191:$F191))-1,2)</f>
        <v>0</v>
      </c>
      <c r="D193" s="4">
        <f t="array" ref="D193">INDEX(Sheet1!$B$2:$F$22000,SMALL(IF(Sheet1!$A$2:$A$22000=$A$1,ROW(Sheet1!$B$2:$B$22000)),ROW($A191:$F191))-1,3)</f>
        <v>0</v>
      </c>
      <c r="E193" s="4">
        <f t="array" ref="E193">INDEX(Sheet1!$B$2:$F$22000,SMALL(IF(Sheet1!$A$2:$A$22000=$A$1,ROW(Sheet1!$B$2:$B$22000)),ROW($A191:$F191))-1,4)</f>
        <v>0</v>
      </c>
      <c r="F193" s="4">
        <f t="array" ref="F193">INDEX(Sheet1!$B$2:$F$22000,SMALL(IF(Sheet1!$A$2:$A$22000=$A$1,ROW(Sheet1!$B$2:$B$22000)),ROW($A191:$F191))-1,5)</f>
        <v>0</v>
      </c>
      <c r="M193" s="9">
        <v>191</v>
      </c>
      <c r="N193" s="10">
        <f t="shared" si="15"/>
        <v>0</v>
      </c>
      <c r="O193" s="11">
        <f t="shared" si="16"/>
        <v>0</v>
      </c>
      <c r="P193" s="12">
        <f t="shared" si="17"/>
        <v>0</v>
      </c>
      <c r="Q193" s="13">
        <f t="shared" si="18"/>
        <v>0</v>
      </c>
      <c r="V193" s="14">
        <f t="shared" si="13"/>
        <v>0.373046875</v>
      </c>
      <c r="W193" s="10">
        <f t="shared" si="19"/>
        <v>0</v>
      </c>
      <c r="X193" s="11">
        <f t="shared" si="19"/>
        <v>0</v>
      </c>
      <c r="Y193" s="12">
        <f t="shared" si="19"/>
        <v>0</v>
      </c>
      <c r="Z193" s="13">
        <f t="shared" si="14"/>
        <v>0</v>
      </c>
    </row>
    <row r="194" spans="2:26" x14ac:dyDescent="0.25">
      <c r="B194" s="4">
        <v>192</v>
      </c>
      <c r="C194" s="4">
        <f t="array" ref="C194">INDEX(Sheet1!$B$2:$F$22000,SMALL(IF(Sheet1!$A$2:$A$22000=$A$1,ROW(Sheet1!$B$2:$B$22000)),ROW($A192:$F192))-1,2)</f>
        <v>0</v>
      </c>
      <c r="D194" s="4">
        <f t="array" ref="D194">INDEX(Sheet1!$B$2:$F$22000,SMALL(IF(Sheet1!$A$2:$A$22000=$A$1,ROW(Sheet1!$B$2:$B$22000)),ROW($A192:$F192))-1,3)</f>
        <v>0</v>
      </c>
      <c r="E194" s="4">
        <f t="array" ref="E194">INDEX(Sheet1!$B$2:$F$22000,SMALL(IF(Sheet1!$A$2:$A$22000=$A$1,ROW(Sheet1!$B$2:$B$22000)),ROW($A192:$F192))-1,4)</f>
        <v>0</v>
      </c>
      <c r="F194" s="4">
        <f t="array" ref="F194">INDEX(Sheet1!$B$2:$F$22000,SMALL(IF(Sheet1!$A$2:$A$22000=$A$1,ROW(Sheet1!$B$2:$B$22000)),ROW($A192:$F192))-1,5)</f>
        <v>0</v>
      </c>
      <c r="M194" s="9">
        <v>192</v>
      </c>
      <c r="N194" s="10">
        <f t="shared" si="15"/>
        <v>0</v>
      </c>
      <c r="O194" s="11">
        <f t="shared" si="16"/>
        <v>0</v>
      </c>
      <c r="P194" s="12">
        <f t="shared" si="17"/>
        <v>0</v>
      </c>
      <c r="Q194" s="13">
        <f t="shared" si="18"/>
        <v>0</v>
      </c>
      <c r="V194" s="14">
        <f t="shared" ref="V194:V257" si="20">$M194*(1/512)</f>
        <v>0.375</v>
      </c>
      <c r="W194" s="10">
        <f t="shared" si="19"/>
        <v>0</v>
      </c>
      <c r="X194" s="11">
        <f t="shared" si="19"/>
        <v>0</v>
      </c>
      <c r="Y194" s="12">
        <f t="shared" si="19"/>
        <v>0</v>
      </c>
      <c r="Z194" s="13">
        <f t="shared" si="14"/>
        <v>0</v>
      </c>
    </row>
    <row r="195" spans="2:26" x14ac:dyDescent="0.25">
      <c r="B195" s="4">
        <v>193</v>
      </c>
      <c r="C195" s="4">
        <f t="array" ref="C195">INDEX(Sheet1!$B$2:$F$22000,SMALL(IF(Sheet1!$A$2:$A$22000=$A$1,ROW(Sheet1!$B$2:$B$22000)),ROW($A193:$F193))-1,2)</f>
        <v>0</v>
      </c>
      <c r="D195" s="4">
        <f t="array" ref="D195">INDEX(Sheet1!$B$2:$F$22000,SMALL(IF(Sheet1!$A$2:$A$22000=$A$1,ROW(Sheet1!$B$2:$B$22000)),ROW($A193:$F193))-1,3)</f>
        <v>0</v>
      </c>
      <c r="E195" s="4">
        <f t="array" ref="E195">INDEX(Sheet1!$B$2:$F$22000,SMALL(IF(Sheet1!$A$2:$A$22000=$A$1,ROW(Sheet1!$B$2:$B$22000)),ROW($A193:$F193))-1,4)</f>
        <v>0</v>
      </c>
      <c r="F195" s="4">
        <f t="array" ref="F195">INDEX(Sheet1!$B$2:$F$22000,SMALL(IF(Sheet1!$A$2:$A$22000=$A$1,ROW(Sheet1!$B$2:$B$22000)),ROW($A193:$F193))-1,5)</f>
        <v>0</v>
      </c>
      <c r="M195" s="9">
        <v>193</v>
      </c>
      <c r="N195" s="10">
        <f t="shared" si="15"/>
        <v>0</v>
      </c>
      <c r="O195" s="11">
        <f t="shared" si="16"/>
        <v>0</v>
      </c>
      <c r="P195" s="12">
        <f t="shared" si="17"/>
        <v>0</v>
      </c>
      <c r="Q195" s="13">
        <f t="shared" si="18"/>
        <v>0</v>
      </c>
      <c r="V195" s="14">
        <f t="shared" si="20"/>
        <v>0.376953125</v>
      </c>
      <c r="W195" s="10">
        <f t="shared" si="19"/>
        <v>0</v>
      </c>
      <c r="X195" s="11">
        <f t="shared" si="19"/>
        <v>0</v>
      </c>
      <c r="Y195" s="12">
        <f t="shared" si="19"/>
        <v>0</v>
      </c>
      <c r="Z195" s="13">
        <f t="shared" si="19"/>
        <v>0</v>
      </c>
    </row>
    <row r="196" spans="2:26" x14ac:dyDescent="0.25">
      <c r="B196" s="4">
        <v>194</v>
      </c>
      <c r="C196" s="4">
        <f t="array" ref="C196">INDEX(Sheet1!$B$2:$F$22000,SMALL(IF(Sheet1!$A$2:$A$22000=$A$1,ROW(Sheet1!$B$2:$B$22000)),ROW($A194:$F194))-1,2)</f>
        <v>0</v>
      </c>
      <c r="D196" s="4">
        <f t="array" ref="D196">INDEX(Sheet1!$B$2:$F$22000,SMALL(IF(Sheet1!$A$2:$A$22000=$A$1,ROW(Sheet1!$B$2:$B$22000)),ROW($A194:$F194))-1,3)</f>
        <v>0</v>
      </c>
      <c r="E196" s="4">
        <f t="array" ref="E196">INDEX(Sheet1!$B$2:$F$22000,SMALL(IF(Sheet1!$A$2:$A$22000=$A$1,ROW(Sheet1!$B$2:$B$22000)),ROW($A194:$F194))-1,4)</f>
        <v>0</v>
      </c>
      <c r="F196" s="4">
        <f t="array" ref="F196">INDEX(Sheet1!$B$2:$F$22000,SMALL(IF(Sheet1!$A$2:$A$22000=$A$1,ROW(Sheet1!$B$2:$B$22000)),ROW($A194:$F194))-1,5)</f>
        <v>0</v>
      </c>
      <c r="M196" s="9">
        <v>194</v>
      </c>
      <c r="N196" s="10">
        <f t="shared" ref="N196:N259" si="21">C196</f>
        <v>0</v>
      </c>
      <c r="O196" s="11">
        <f t="shared" ref="O196:O259" si="22">D196</f>
        <v>0</v>
      </c>
      <c r="P196" s="12">
        <f t="shared" ref="P196:P259" si="23">E196</f>
        <v>0</v>
      </c>
      <c r="Q196" s="13">
        <f t="shared" ref="Q196:Q259" si="24">F196</f>
        <v>0</v>
      </c>
      <c r="V196" s="14">
        <f t="shared" si="20"/>
        <v>0.37890625</v>
      </c>
      <c r="W196" s="10">
        <f t="shared" ref="W196:Z259" si="25">IMABS(R196)</f>
        <v>0</v>
      </c>
      <c r="X196" s="11">
        <f t="shared" si="25"/>
        <v>0</v>
      </c>
      <c r="Y196" s="12">
        <f t="shared" si="25"/>
        <v>0</v>
      </c>
      <c r="Z196" s="13">
        <f t="shared" si="25"/>
        <v>0</v>
      </c>
    </row>
    <row r="197" spans="2:26" x14ac:dyDescent="0.25">
      <c r="B197" s="4">
        <v>195</v>
      </c>
      <c r="C197" s="4">
        <f t="array" ref="C197">INDEX(Sheet1!$B$2:$F$22000,SMALL(IF(Sheet1!$A$2:$A$22000=$A$1,ROW(Sheet1!$B$2:$B$22000)),ROW($A195:$F195))-1,2)</f>
        <v>0</v>
      </c>
      <c r="D197" s="4">
        <f t="array" ref="D197">INDEX(Sheet1!$B$2:$F$22000,SMALL(IF(Sheet1!$A$2:$A$22000=$A$1,ROW(Sheet1!$B$2:$B$22000)),ROW($A195:$F195))-1,3)</f>
        <v>0</v>
      </c>
      <c r="E197" s="4">
        <f t="array" ref="E197">INDEX(Sheet1!$B$2:$F$22000,SMALL(IF(Sheet1!$A$2:$A$22000=$A$1,ROW(Sheet1!$B$2:$B$22000)),ROW($A195:$F195))-1,4)</f>
        <v>0</v>
      </c>
      <c r="F197" s="4">
        <f t="array" ref="F197">INDEX(Sheet1!$B$2:$F$22000,SMALL(IF(Sheet1!$A$2:$A$22000=$A$1,ROW(Sheet1!$B$2:$B$22000)),ROW($A195:$F195))-1,5)</f>
        <v>0</v>
      </c>
      <c r="M197" s="9">
        <v>195</v>
      </c>
      <c r="N197" s="10">
        <f t="shared" si="21"/>
        <v>0</v>
      </c>
      <c r="O197" s="11">
        <f t="shared" si="22"/>
        <v>0</v>
      </c>
      <c r="P197" s="12">
        <f t="shared" si="23"/>
        <v>0</v>
      </c>
      <c r="Q197" s="13">
        <f t="shared" si="24"/>
        <v>0</v>
      </c>
      <c r="V197" s="14">
        <f t="shared" si="20"/>
        <v>0.380859375</v>
      </c>
      <c r="W197" s="10">
        <f t="shared" si="25"/>
        <v>0</v>
      </c>
      <c r="X197" s="11">
        <f t="shared" si="25"/>
        <v>0</v>
      </c>
      <c r="Y197" s="12">
        <f t="shared" si="25"/>
        <v>0</v>
      </c>
      <c r="Z197" s="13">
        <f t="shared" si="25"/>
        <v>0</v>
      </c>
    </row>
    <row r="198" spans="2:26" x14ac:dyDescent="0.25">
      <c r="B198" s="4">
        <v>196</v>
      </c>
      <c r="C198" s="4">
        <f t="array" ref="C198">INDEX(Sheet1!$B$2:$F$22000,SMALL(IF(Sheet1!$A$2:$A$22000=$A$1,ROW(Sheet1!$B$2:$B$22000)),ROW($A196:$F196))-1,2)</f>
        <v>0</v>
      </c>
      <c r="D198" s="4">
        <f t="array" ref="D198">INDEX(Sheet1!$B$2:$F$22000,SMALL(IF(Sheet1!$A$2:$A$22000=$A$1,ROW(Sheet1!$B$2:$B$22000)),ROW($A196:$F196))-1,3)</f>
        <v>0</v>
      </c>
      <c r="E198" s="4">
        <f t="array" ref="E198">INDEX(Sheet1!$B$2:$F$22000,SMALL(IF(Sheet1!$A$2:$A$22000=$A$1,ROW(Sheet1!$B$2:$B$22000)),ROW($A196:$F196))-1,4)</f>
        <v>0</v>
      </c>
      <c r="F198" s="4">
        <f t="array" ref="F198">INDEX(Sheet1!$B$2:$F$22000,SMALL(IF(Sheet1!$A$2:$A$22000=$A$1,ROW(Sheet1!$B$2:$B$22000)),ROW($A196:$F196))-1,5)</f>
        <v>0</v>
      </c>
      <c r="M198" s="9">
        <v>196</v>
      </c>
      <c r="N198" s="10">
        <f t="shared" si="21"/>
        <v>0</v>
      </c>
      <c r="O198" s="11">
        <f t="shared" si="22"/>
        <v>0</v>
      </c>
      <c r="P198" s="12">
        <f t="shared" si="23"/>
        <v>0</v>
      </c>
      <c r="Q198" s="13">
        <f t="shared" si="24"/>
        <v>0</v>
      </c>
      <c r="V198" s="14">
        <f t="shared" si="20"/>
        <v>0.3828125</v>
      </c>
      <c r="W198" s="10">
        <f t="shared" si="25"/>
        <v>0</v>
      </c>
      <c r="X198" s="11">
        <f t="shared" si="25"/>
        <v>0</v>
      </c>
      <c r="Y198" s="12">
        <f t="shared" si="25"/>
        <v>0</v>
      </c>
      <c r="Z198" s="13">
        <f t="shared" si="25"/>
        <v>0</v>
      </c>
    </row>
    <row r="199" spans="2:26" x14ac:dyDescent="0.25">
      <c r="B199" s="4">
        <v>197</v>
      </c>
      <c r="C199" s="4">
        <f t="array" ref="C199">INDEX(Sheet1!$B$2:$F$22000,SMALL(IF(Sheet1!$A$2:$A$22000=$A$1,ROW(Sheet1!$B$2:$B$22000)),ROW($A197:$F197))-1,2)</f>
        <v>0</v>
      </c>
      <c r="D199" s="4">
        <f t="array" ref="D199">INDEX(Sheet1!$B$2:$F$22000,SMALL(IF(Sheet1!$A$2:$A$22000=$A$1,ROW(Sheet1!$B$2:$B$22000)),ROW($A197:$F197))-1,3)</f>
        <v>0</v>
      </c>
      <c r="E199" s="4">
        <f t="array" ref="E199">INDEX(Sheet1!$B$2:$F$22000,SMALL(IF(Sheet1!$A$2:$A$22000=$A$1,ROW(Sheet1!$B$2:$B$22000)),ROW($A197:$F197))-1,4)</f>
        <v>0</v>
      </c>
      <c r="F199" s="4">
        <f t="array" ref="F199">INDEX(Sheet1!$B$2:$F$22000,SMALL(IF(Sheet1!$A$2:$A$22000=$A$1,ROW(Sheet1!$B$2:$B$22000)),ROW($A197:$F197))-1,5)</f>
        <v>0</v>
      </c>
      <c r="M199" s="9">
        <v>197</v>
      </c>
      <c r="N199" s="10">
        <f t="shared" si="21"/>
        <v>0</v>
      </c>
      <c r="O199" s="11">
        <f t="shared" si="22"/>
        <v>0</v>
      </c>
      <c r="P199" s="12">
        <f t="shared" si="23"/>
        <v>0</v>
      </c>
      <c r="Q199" s="13">
        <f t="shared" si="24"/>
        <v>0</v>
      </c>
      <c r="V199" s="14">
        <f t="shared" si="20"/>
        <v>0.384765625</v>
      </c>
      <c r="W199" s="10">
        <f t="shared" si="25"/>
        <v>0</v>
      </c>
      <c r="X199" s="11">
        <f t="shared" si="25"/>
        <v>0</v>
      </c>
      <c r="Y199" s="12">
        <f t="shared" si="25"/>
        <v>0</v>
      </c>
      <c r="Z199" s="13">
        <f t="shared" si="25"/>
        <v>0</v>
      </c>
    </row>
    <row r="200" spans="2:26" x14ac:dyDescent="0.25">
      <c r="B200" s="4">
        <v>198</v>
      </c>
      <c r="C200" s="4">
        <f t="array" ref="C200">INDEX(Sheet1!$B$2:$F$22000,SMALL(IF(Sheet1!$A$2:$A$22000=$A$1,ROW(Sheet1!$B$2:$B$22000)),ROW($A198:$F198))-1,2)</f>
        <v>0</v>
      </c>
      <c r="D200" s="4">
        <f t="array" ref="D200">INDEX(Sheet1!$B$2:$F$22000,SMALL(IF(Sheet1!$A$2:$A$22000=$A$1,ROW(Sheet1!$B$2:$B$22000)),ROW($A198:$F198))-1,3)</f>
        <v>0</v>
      </c>
      <c r="E200" s="4">
        <f t="array" ref="E200">INDEX(Sheet1!$B$2:$F$22000,SMALL(IF(Sheet1!$A$2:$A$22000=$A$1,ROW(Sheet1!$B$2:$B$22000)),ROW($A198:$F198))-1,4)</f>
        <v>0</v>
      </c>
      <c r="F200" s="4">
        <f t="array" ref="F200">INDEX(Sheet1!$B$2:$F$22000,SMALL(IF(Sheet1!$A$2:$A$22000=$A$1,ROW(Sheet1!$B$2:$B$22000)),ROW($A198:$F198))-1,5)</f>
        <v>0</v>
      </c>
      <c r="M200" s="9">
        <v>198</v>
      </c>
      <c r="N200" s="10">
        <f t="shared" si="21"/>
        <v>0</v>
      </c>
      <c r="O200" s="11">
        <f t="shared" si="22"/>
        <v>0</v>
      </c>
      <c r="P200" s="12">
        <f t="shared" si="23"/>
        <v>0</v>
      </c>
      <c r="Q200" s="13">
        <f t="shared" si="24"/>
        <v>0</v>
      </c>
      <c r="V200" s="14">
        <f t="shared" si="20"/>
        <v>0.38671875</v>
      </c>
      <c r="W200" s="10">
        <f t="shared" si="25"/>
        <v>0</v>
      </c>
      <c r="X200" s="11">
        <f t="shared" si="25"/>
        <v>0</v>
      </c>
      <c r="Y200" s="12">
        <f t="shared" si="25"/>
        <v>0</v>
      </c>
      <c r="Z200" s="13">
        <f t="shared" si="25"/>
        <v>0</v>
      </c>
    </row>
    <row r="201" spans="2:26" x14ac:dyDescent="0.25">
      <c r="B201" s="4">
        <v>199</v>
      </c>
      <c r="C201" s="4">
        <f t="array" ref="C201">INDEX(Sheet1!$B$2:$F$22000,SMALL(IF(Sheet1!$A$2:$A$22000=$A$1,ROW(Sheet1!$B$2:$B$22000)),ROW($A199:$F199))-1,2)</f>
        <v>0</v>
      </c>
      <c r="D201" s="4">
        <f t="array" ref="D201">INDEX(Sheet1!$B$2:$F$22000,SMALL(IF(Sheet1!$A$2:$A$22000=$A$1,ROW(Sheet1!$B$2:$B$22000)),ROW($A199:$F199))-1,3)</f>
        <v>0</v>
      </c>
      <c r="E201" s="4">
        <f t="array" ref="E201">INDEX(Sheet1!$B$2:$F$22000,SMALL(IF(Sheet1!$A$2:$A$22000=$A$1,ROW(Sheet1!$B$2:$B$22000)),ROW($A199:$F199))-1,4)</f>
        <v>0</v>
      </c>
      <c r="F201" s="4">
        <f t="array" ref="F201">INDEX(Sheet1!$B$2:$F$22000,SMALL(IF(Sheet1!$A$2:$A$22000=$A$1,ROW(Sheet1!$B$2:$B$22000)),ROW($A199:$F199))-1,5)</f>
        <v>0</v>
      </c>
      <c r="M201" s="9">
        <v>199</v>
      </c>
      <c r="N201" s="10">
        <f t="shared" si="21"/>
        <v>0</v>
      </c>
      <c r="O201" s="11">
        <f t="shared" si="22"/>
        <v>0</v>
      </c>
      <c r="P201" s="12">
        <f t="shared" si="23"/>
        <v>0</v>
      </c>
      <c r="Q201" s="13">
        <f t="shared" si="24"/>
        <v>0</v>
      </c>
      <c r="V201" s="14">
        <f t="shared" si="20"/>
        <v>0.388671875</v>
      </c>
      <c r="W201" s="10">
        <f t="shared" si="25"/>
        <v>0</v>
      </c>
      <c r="X201" s="11">
        <f t="shared" si="25"/>
        <v>0</v>
      </c>
      <c r="Y201" s="12">
        <f t="shared" si="25"/>
        <v>0</v>
      </c>
      <c r="Z201" s="13">
        <f t="shared" si="25"/>
        <v>0</v>
      </c>
    </row>
    <row r="202" spans="2:26" x14ac:dyDescent="0.25">
      <c r="B202" s="4">
        <v>200</v>
      </c>
      <c r="C202" s="4">
        <f t="array" ref="C202">INDEX(Sheet1!$B$2:$F$22000,SMALL(IF(Sheet1!$A$2:$A$22000=$A$1,ROW(Sheet1!$B$2:$B$22000)),ROW($A200:$F200))-1,2)</f>
        <v>0</v>
      </c>
      <c r="D202" s="4">
        <f t="array" ref="D202">INDEX(Sheet1!$B$2:$F$22000,SMALL(IF(Sheet1!$A$2:$A$22000=$A$1,ROW(Sheet1!$B$2:$B$22000)),ROW($A200:$F200))-1,3)</f>
        <v>0</v>
      </c>
      <c r="E202" s="4">
        <f t="array" ref="E202">INDEX(Sheet1!$B$2:$F$22000,SMALL(IF(Sheet1!$A$2:$A$22000=$A$1,ROW(Sheet1!$B$2:$B$22000)),ROW($A200:$F200))-1,4)</f>
        <v>0</v>
      </c>
      <c r="F202" s="4">
        <f t="array" ref="F202">INDEX(Sheet1!$B$2:$F$22000,SMALL(IF(Sheet1!$A$2:$A$22000=$A$1,ROW(Sheet1!$B$2:$B$22000)),ROW($A200:$F200))-1,5)</f>
        <v>0</v>
      </c>
      <c r="M202" s="9">
        <v>200</v>
      </c>
      <c r="N202" s="10">
        <f t="shared" si="21"/>
        <v>0</v>
      </c>
      <c r="O202" s="11">
        <f t="shared" si="22"/>
        <v>0</v>
      </c>
      <c r="P202" s="12">
        <f t="shared" si="23"/>
        <v>0</v>
      </c>
      <c r="Q202" s="13">
        <f t="shared" si="24"/>
        <v>0</v>
      </c>
      <c r="V202" s="14">
        <f t="shared" si="20"/>
        <v>0.390625</v>
      </c>
      <c r="W202" s="10">
        <f t="shared" si="25"/>
        <v>0</v>
      </c>
      <c r="X202" s="11">
        <f t="shared" si="25"/>
        <v>0</v>
      </c>
      <c r="Y202" s="12">
        <f t="shared" si="25"/>
        <v>0</v>
      </c>
      <c r="Z202" s="13">
        <f t="shared" si="25"/>
        <v>0</v>
      </c>
    </row>
    <row r="203" spans="2:26" x14ac:dyDescent="0.25">
      <c r="B203" s="4">
        <v>201</v>
      </c>
      <c r="C203" s="4">
        <f t="array" ref="C203">INDEX(Sheet1!$B$2:$F$22000,SMALL(IF(Sheet1!$A$2:$A$22000=$A$1,ROW(Sheet1!$B$2:$B$22000)),ROW($A201:$F201))-1,2)</f>
        <v>0</v>
      </c>
      <c r="D203" s="4">
        <f t="array" ref="D203">INDEX(Sheet1!$B$2:$F$22000,SMALL(IF(Sheet1!$A$2:$A$22000=$A$1,ROW(Sheet1!$B$2:$B$22000)),ROW($A201:$F201))-1,3)</f>
        <v>0</v>
      </c>
      <c r="E203" s="4">
        <f t="array" ref="E203">INDEX(Sheet1!$B$2:$F$22000,SMALL(IF(Sheet1!$A$2:$A$22000=$A$1,ROW(Sheet1!$B$2:$B$22000)),ROW($A201:$F201))-1,4)</f>
        <v>0</v>
      </c>
      <c r="F203" s="4">
        <f t="array" ref="F203">INDEX(Sheet1!$B$2:$F$22000,SMALL(IF(Sheet1!$A$2:$A$22000=$A$1,ROW(Sheet1!$B$2:$B$22000)),ROW($A201:$F201))-1,5)</f>
        <v>0</v>
      </c>
      <c r="M203" s="9">
        <v>201</v>
      </c>
      <c r="N203" s="10">
        <f t="shared" si="21"/>
        <v>0</v>
      </c>
      <c r="O203" s="11">
        <f t="shared" si="22"/>
        <v>0</v>
      </c>
      <c r="P203" s="12">
        <f t="shared" si="23"/>
        <v>0</v>
      </c>
      <c r="Q203" s="13">
        <f t="shared" si="24"/>
        <v>0</v>
      </c>
      <c r="V203" s="14">
        <f t="shared" si="20"/>
        <v>0.392578125</v>
      </c>
      <c r="W203" s="10">
        <f t="shared" si="25"/>
        <v>0</v>
      </c>
      <c r="X203" s="11">
        <f t="shared" si="25"/>
        <v>0</v>
      </c>
      <c r="Y203" s="12">
        <f t="shared" si="25"/>
        <v>0</v>
      </c>
      <c r="Z203" s="13">
        <f t="shared" si="25"/>
        <v>0</v>
      </c>
    </row>
    <row r="204" spans="2:26" x14ac:dyDescent="0.25">
      <c r="B204" s="4">
        <v>202</v>
      </c>
      <c r="C204" s="4">
        <f t="array" ref="C204">INDEX(Sheet1!$B$2:$F$22000,SMALL(IF(Sheet1!$A$2:$A$22000=$A$1,ROW(Sheet1!$B$2:$B$22000)),ROW($A202:$F202))-1,2)</f>
        <v>0</v>
      </c>
      <c r="D204" s="4">
        <f t="array" ref="D204">INDEX(Sheet1!$B$2:$F$22000,SMALL(IF(Sheet1!$A$2:$A$22000=$A$1,ROW(Sheet1!$B$2:$B$22000)),ROW($A202:$F202))-1,3)</f>
        <v>0</v>
      </c>
      <c r="E204" s="4">
        <f t="array" ref="E204">INDEX(Sheet1!$B$2:$F$22000,SMALL(IF(Sheet1!$A$2:$A$22000=$A$1,ROW(Sheet1!$B$2:$B$22000)),ROW($A202:$F202))-1,4)</f>
        <v>0</v>
      </c>
      <c r="F204" s="4">
        <f t="array" ref="F204">INDEX(Sheet1!$B$2:$F$22000,SMALL(IF(Sheet1!$A$2:$A$22000=$A$1,ROW(Sheet1!$B$2:$B$22000)),ROW($A202:$F202))-1,5)</f>
        <v>0</v>
      </c>
      <c r="M204" s="9">
        <v>202</v>
      </c>
      <c r="N204" s="10">
        <f t="shared" si="21"/>
        <v>0</v>
      </c>
      <c r="O204" s="11">
        <f t="shared" si="22"/>
        <v>0</v>
      </c>
      <c r="P204" s="12">
        <f t="shared" si="23"/>
        <v>0</v>
      </c>
      <c r="Q204" s="13">
        <f t="shared" si="24"/>
        <v>0</v>
      </c>
      <c r="V204" s="14">
        <f t="shared" si="20"/>
        <v>0.39453125</v>
      </c>
      <c r="W204" s="10">
        <f t="shared" si="25"/>
        <v>0</v>
      </c>
      <c r="X204" s="11">
        <f t="shared" si="25"/>
        <v>0</v>
      </c>
      <c r="Y204" s="12">
        <f t="shared" si="25"/>
        <v>0</v>
      </c>
      <c r="Z204" s="13">
        <f t="shared" si="25"/>
        <v>0</v>
      </c>
    </row>
    <row r="205" spans="2:26" x14ac:dyDescent="0.25">
      <c r="B205" s="4">
        <v>203</v>
      </c>
      <c r="C205" s="4">
        <f t="array" ref="C205">INDEX(Sheet1!$B$2:$F$22000,SMALL(IF(Sheet1!$A$2:$A$22000=$A$1,ROW(Sheet1!$B$2:$B$22000)),ROW($A203:$F203))-1,2)</f>
        <v>0</v>
      </c>
      <c r="D205" s="4">
        <f t="array" ref="D205">INDEX(Sheet1!$B$2:$F$22000,SMALL(IF(Sheet1!$A$2:$A$22000=$A$1,ROW(Sheet1!$B$2:$B$22000)),ROW($A203:$F203))-1,3)</f>
        <v>0</v>
      </c>
      <c r="E205" s="4">
        <f t="array" ref="E205">INDEX(Sheet1!$B$2:$F$22000,SMALL(IF(Sheet1!$A$2:$A$22000=$A$1,ROW(Sheet1!$B$2:$B$22000)),ROW($A203:$F203))-1,4)</f>
        <v>0</v>
      </c>
      <c r="F205" s="4">
        <f t="array" ref="F205">INDEX(Sheet1!$B$2:$F$22000,SMALL(IF(Sheet1!$A$2:$A$22000=$A$1,ROW(Sheet1!$B$2:$B$22000)),ROW($A203:$F203))-1,5)</f>
        <v>0</v>
      </c>
      <c r="M205" s="9">
        <v>203</v>
      </c>
      <c r="N205" s="10">
        <f t="shared" si="21"/>
        <v>0</v>
      </c>
      <c r="O205" s="11">
        <f t="shared" si="22"/>
        <v>0</v>
      </c>
      <c r="P205" s="12">
        <f t="shared" si="23"/>
        <v>0</v>
      </c>
      <c r="Q205" s="13">
        <f t="shared" si="24"/>
        <v>0</v>
      </c>
      <c r="V205" s="14">
        <f t="shared" si="20"/>
        <v>0.396484375</v>
      </c>
      <c r="W205" s="10">
        <f t="shared" si="25"/>
        <v>0</v>
      </c>
      <c r="X205" s="11">
        <f t="shared" si="25"/>
        <v>0</v>
      </c>
      <c r="Y205" s="12">
        <f t="shared" si="25"/>
        <v>0</v>
      </c>
      <c r="Z205" s="13">
        <f t="shared" si="25"/>
        <v>0</v>
      </c>
    </row>
    <row r="206" spans="2:26" x14ac:dyDescent="0.25">
      <c r="B206" s="4">
        <v>204</v>
      </c>
      <c r="C206" s="4">
        <f t="array" ref="C206">INDEX(Sheet1!$B$2:$F$22000,SMALL(IF(Sheet1!$A$2:$A$22000=$A$1,ROW(Sheet1!$B$2:$B$22000)),ROW($A204:$F204))-1,2)</f>
        <v>0</v>
      </c>
      <c r="D206" s="4">
        <f t="array" ref="D206">INDEX(Sheet1!$B$2:$F$22000,SMALL(IF(Sheet1!$A$2:$A$22000=$A$1,ROW(Sheet1!$B$2:$B$22000)),ROW($A204:$F204))-1,3)</f>
        <v>0</v>
      </c>
      <c r="E206" s="4">
        <f t="array" ref="E206">INDEX(Sheet1!$B$2:$F$22000,SMALL(IF(Sheet1!$A$2:$A$22000=$A$1,ROW(Sheet1!$B$2:$B$22000)),ROW($A204:$F204))-1,4)</f>
        <v>0</v>
      </c>
      <c r="F206" s="4">
        <f t="array" ref="F206">INDEX(Sheet1!$B$2:$F$22000,SMALL(IF(Sheet1!$A$2:$A$22000=$A$1,ROW(Sheet1!$B$2:$B$22000)),ROW($A204:$F204))-1,5)</f>
        <v>0</v>
      </c>
      <c r="M206" s="9">
        <v>204</v>
      </c>
      <c r="N206" s="10">
        <f t="shared" si="21"/>
        <v>0</v>
      </c>
      <c r="O206" s="11">
        <f t="shared" si="22"/>
        <v>0</v>
      </c>
      <c r="P206" s="12">
        <f t="shared" si="23"/>
        <v>0</v>
      </c>
      <c r="Q206" s="13">
        <f t="shared" si="24"/>
        <v>0</v>
      </c>
      <c r="V206" s="14">
        <f t="shared" si="20"/>
        <v>0.3984375</v>
      </c>
      <c r="W206" s="10">
        <f t="shared" si="25"/>
        <v>0</v>
      </c>
      <c r="X206" s="11">
        <f t="shared" si="25"/>
        <v>0</v>
      </c>
      <c r="Y206" s="12">
        <f t="shared" si="25"/>
        <v>0</v>
      </c>
      <c r="Z206" s="13">
        <f t="shared" si="25"/>
        <v>0</v>
      </c>
    </row>
    <row r="207" spans="2:26" x14ac:dyDescent="0.25">
      <c r="B207" s="4">
        <v>205</v>
      </c>
      <c r="C207" s="4">
        <f t="array" ref="C207">INDEX(Sheet1!$B$2:$F$22000,SMALL(IF(Sheet1!$A$2:$A$22000=$A$1,ROW(Sheet1!$B$2:$B$22000)),ROW($A205:$F205))-1,2)</f>
        <v>0</v>
      </c>
      <c r="D207" s="4">
        <f t="array" ref="D207">INDEX(Sheet1!$B$2:$F$22000,SMALL(IF(Sheet1!$A$2:$A$22000=$A$1,ROW(Sheet1!$B$2:$B$22000)),ROW($A205:$F205))-1,3)</f>
        <v>0</v>
      </c>
      <c r="E207" s="4">
        <f t="array" ref="E207">INDEX(Sheet1!$B$2:$F$22000,SMALL(IF(Sheet1!$A$2:$A$22000=$A$1,ROW(Sheet1!$B$2:$B$22000)),ROW($A205:$F205))-1,4)</f>
        <v>0</v>
      </c>
      <c r="F207" s="4">
        <f t="array" ref="F207">INDEX(Sheet1!$B$2:$F$22000,SMALL(IF(Sheet1!$A$2:$A$22000=$A$1,ROW(Sheet1!$B$2:$B$22000)),ROW($A205:$F205))-1,5)</f>
        <v>0</v>
      </c>
      <c r="M207" s="9">
        <v>205</v>
      </c>
      <c r="N207" s="10">
        <f t="shared" si="21"/>
        <v>0</v>
      </c>
      <c r="O207" s="11">
        <f t="shared" si="22"/>
        <v>0</v>
      </c>
      <c r="P207" s="12">
        <f t="shared" si="23"/>
        <v>0</v>
      </c>
      <c r="Q207" s="13">
        <f t="shared" si="24"/>
        <v>0</v>
      </c>
      <c r="V207" s="14">
        <f t="shared" si="20"/>
        <v>0.400390625</v>
      </c>
      <c r="W207" s="10">
        <f t="shared" si="25"/>
        <v>0</v>
      </c>
      <c r="X207" s="11">
        <f t="shared" si="25"/>
        <v>0</v>
      </c>
      <c r="Y207" s="12">
        <f t="shared" si="25"/>
        <v>0</v>
      </c>
      <c r="Z207" s="13">
        <f t="shared" si="25"/>
        <v>0</v>
      </c>
    </row>
    <row r="208" spans="2:26" x14ac:dyDescent="0.25">
      <c r="B208" s="4">
        <v>206</v>
      </c>
      <c r="C208" s="4">
        <f t="array" ref="C208">INDEX(Sheet1!$B$2:$F$22000,SMALL(IF(Sheet1!$A$2:$A$22000=$A$1,ROW(Sheet1!$B$2:$B$22000)),ROW($A206:$F206))-1,2)</f>
        <v>0</v>
      </c>
      <c r="D208" s="4">
        <f t="array" ref="D208">INDEX(Sheet1!$B$2:$F$22000,SMALL(IF(Sheet1!$A$2:$A$22000=$A$1,ROW(Sheet1!$B$2:$B$22000)),ROW($A206:$F206))-1,3)</f>
        <v>0</v>
      </c>
      <c r="E208" s="4">
        <f t="array" ref="E208">INDEX(Sheet1!$B$2:$F$22000,SMALL(IF(Sheet1!$A$2:$A$22000=$A$1,ROW(Sheet1!$B$2:$B$22000)),ROW($A206:$F206))-1,4)</f>
        <v>0</v>
      </c>
      <c r="F208" s="4">
        <f t="array" ref="F208">INDEX(Sheet1!$B$2:$F$22000,SMALL(IF(Sheet1!$A$2:$A$22000=$A$1,ROW(Sheet1!$B$2:$B$22000)),ROW($A206:$F206))-1,5)</f>
        <v>0</v>
      </c>
      <c r="M208" s="9">
        <v>206</v>
      </c>
      <c r="N208" s="10">
        <f t="shared" si="21"/>
        <v>0</v>
      </c>
      <c r="O208" s="11">
        <f t="shared" si="22"/>
        <v>0</v>
      </c>
      <c r="P208" s="12">
        <f t="shared" si="23"/>
        <v>0</v>
      </c>
      <c r="Q208" s="13">
        <f t="shared" si="24"/>
        <v>0</v>
      </c>
      <c r="V208" s="14">
        <f t="shared" si="20"/>
        <v>0.40234375</v>
      </c>
      <c r="W208" s="10">
        <f t="shared" si="25"/>
        <v>0</v>
      </c>
      <c r="X208" s="11">
        <f t="shared" si="25"/>
        <v>0</v>
      </c>
      <c r="Y208" s="12">
        <f t="shared" si="25"/>
        <v>0</v>
      </c>
      <c r="Z208" s="13">
        <f t="shared" si="25"/>
        <v>0</v>
      </c>
    </row>
    <row r="209" spans="2:26" x14ac:dyDescent="0.25">
      <c r="B209" s="4">
        <v>207</v>
      </c>
      <c r="C209" s="4">
        <f t="array" ref="C209">INDEX(Sheet1!$B$2:$F$22000,SMALL(IF(Sheet1!$A$2:$A$22000=$A$1,ROW(Sheet1!$B$2:$B$22000)),ROW($A207:$F207))-1,2)</f>
        <v>0</v>
      </c>
      <c r="D209" s="4">
        <f t="array" ref="D209">INDEX(Sheet1!$B$2:$F$22000,SMALL(IF(Sheet1!$A$2:$A$22000=$A$1,ROW(Sheet1!$B$2:$B$22000)),ROW($A207:$F207))-1,3)</f>
        <v>0</v>
      </c>
      <c r="E209" s="4">
        <f t="array" ref="E209">INDEX(Sheet1!$B$2:$F$22000,SMALL(IF(Sheet1!$A$2:$A$22000=$A$1,ROW(Sheet1!$B$2:$B$22000)),ROW($A207:$F207))-1,4)</f>
        <v>0</v>
      </c>
      <c r="F209" s="4">
        <f t="array" ref="F209">INDEX(Sheet1!$B$2:$F$22000,SMALL(IF(Sheet1!$A$2:$A$22000=$A$1,ROW(Sheet1!$B$2:$B$22000)),ROW($A207:$F207))-1,5)</f>
        <v>0</v>
      </c>
      <c r="M209" s="9">
        <v>207</v>
      </c>
      <c r="N209" s="10">
        <f t="shared" si="21"/>
        <v>0</v>
      </c>
      <c r="O209" s="11">
        <f t="shared" si="22"/>
        <v>0</v>
      </c>
      <c r="P209" s="12">
        <f t="shared" si="23"/>
        <v>0</v>
      </c>
      <c r="Q209" s="13">
        <f t="shared" si="24"/>
        <v>0</v>
      </c>
      <c r="V209" s="14">
        <f t="shared" si="20"/>
        <v>0.404296875</v>
      </c>
      <c r="W209" s="10">
        <f t="shared" si="25"/>
        <v>0</v>
      </c>
      <c r="X209" s="11">
        <f t="shared" si="25"/>
        <v>0</v>
      </c>
      <c r="Y209" s="12">
        <f t="shared" si="25"/>
        <v>0</v>
      </c>
      <c r="Z209" s="13">
        <f t="shared" si="25"/>
        <v>0</v>
      </c>
    </row>
    <row r="210" spans="2:26" x14ac:dyDescent="0.25">
      <c r="B210" s="4">
        <v>208</v>
      </c>
      <c r="C210" s="4">
        <f t="array" ref="C210">INDEX(Sheet1!$B$2:$F$22000,SMALL(IF(Sheet1!$A$2:$A$22000=$A$1,ROW(Sheet1!$B$2:$B$22000)),ROW($A208:$F208))-1,2)</f>
        <v>0</v>
      </c>
      <c r="D210" s="4">
        <f t="array" ref="D210">INDEX(Sheet1!$B$2:$F$22000,SMALL(IF(Sheet1!$A$2:$A$22000=$A$1,ROW(Sheet1!$B$2:$B$22000)),ROW($A208:$F208))-1,3)</f>
        <v>0</v>
      </c>
      <c r="E210" s="4">
        <f t="array" ref="E210">INDEX(Sheet1!$B$2:$F$22000,SMALL(IF(Sheet1!$A$2:$A$22000=$A$1,ROW(Sheet1!$B$2:$B$22000)),ROW($A208:$F208))-1,4)</f>
        <v>0</v>
      </c>
      <c r="F210" s="4">
        <f t="array" ref="F210">INDEX(Sheet1!$B$2:$F$22000,SMALL(IF(Sheet1!$A$2:$A$22000=$A$1,ROW(Sheet1!$B$2:$B$22000)),ROW($A208:$F208))-1,5)</f>
        <v>0</v>
      </c>
      <c r="M210" s="9">
        <v>208</v>
      </c>
      <c r="N210" s="10">
        <f t="shared" si="21"/>
        <v>0</v>
      </c>
      <c r="O210" s="11">
        <f t="shared" si="22"/>
        <v>0</v>
      </c>
      <c r="P210" s="12">
        <f t="shared" si="23"/>
        <v>0</v>
      </c>
      <c r="Q210" s="13">
        <f t="shared" si="24"/>
        <v>0</v>
      </c>
      <c r="V210" s="14">
        <f t="shared" si="20"/>
        <v>0.40625</v>
      </c>
      <c r="W210" s="10">
        <f t="shared" si="25"/>
        <v>0</v>
      </c>
      <c r="X210" s="11">
        <f t="shared" si="25"/>
        <v>0</v>
      </c>
      <c r="Y210" s="12">
        <f t="shared" si="25"/>
        <v>0</v>
      </c>
      <c r="Z210" s="13">
        <f t="shared" si="25"/>
        <v>0</v>
      </c>
    </row>
    <row r="211" spans="2:26" x14ac:dyDescent="0.25">
      <c r="B211" s="4">
        <v>209</v>
      </c>
      <c r="C211" s="4">
        <f t="array" ref="C211">INDEX(Sheet1!$B$2:$F$22000,SMALL(IF(Sheet1!$A$2:$A$22000=$A$1,ROW(Sheet1!$B$2:$B$22000)),ROW($A209:$F209))-1,2)</f>
        <v>0</v>
      </c>
      <c r="D211" s="4">
        <f t="array" ref="D211">INDEX(Sheet1!$B$2:$F$22000,SMALL(IF(Sheet1!$A$2:$A$22000=$A$1,ROW(Sheet1!$B$2:$B$22000)),ROW($A209:$F209))-1,3)</f>
        <v>0</v>
      </c>
      <c r="E211" s="4">
        <f t="array" ref="E211">INDEX(Sheet1!$B$2:$F$22000,SMALL(IF(Sheet1!$A$2:$A$22000=$A$1,ROW(Sheet1!$B$2:$B$22000)),ROW($A209:$F209))-1,4)</f>
        <v>0</v>
      </c>
      <c r="F211" s="4">
        <f t="array" ref="F211">INDEX(Sheet1!$B$2:$F$22000,SMALL(IF(Sheet1!$A$2:$A$22000=$A$1,ROW(Sheet1!$B$2:$B$22000)),ROW($A209:$F209))-1,5)</f>
        <v>0</v>
      </c>
      <c r="M211" s="9">
        <v>209</v>
      </c>
      <c r="N211" s="10">
        <f t="shared" si="21"/>
        <v>0</v>
      </c>
      <c r="O211" s="11">
        <f t="shared" si="22"/>
        <v>0</v>
      </c>
      <c r="P211" s="12">
        <f t="shared" si="23"/>
        <v>0</v>
      </c>
      <c r="Q211" s="13">
        <f t="shared" si="24"/>
        <v>0</v>
      </c>
      <c r="V211" s="14">
        <f t="shared" si="20"/>
        <v>0.408203125</v>
      </c>
      <c r="W211" s="10">
        <f t="shared" si="25"/>
        <v>0</v>
      </c>
      <c r="X211" s="11">
        <f t="shared" si="25"/>
        <v>0</v>
      </c>
      <c r="Y211" s="12">
        <f t="shared" si="25"/>
        <v>0</v>
      </c>
      <c r="Z211" s="13">
        <f t="shared" si="25"/>
        <v>0</v>
      </c>
    </row>
    <row r="212" spans="2:26" x14ac:dyDescent="0.25">
      <c r="B212" s="4">
        <v>210</v>
      </c>
      <c r="C212" s="4">
        <f t="array" ref="C212">INDEX(Sheet1!$B$2:$F$22000,SMALL(IF(Sheet1!$A$2:$A$22000=$A$1,ROW(Sheet1!$B$2:$B$22000)),ROW($A210:$F210))-1,2)</f>
        <v>0</v>
      </c>
      <c r="D212" s="4">
        <f t="array" ref="D212">INDEX(Sheet1!$B$2:$F$22000,SMALL(IF(Sheet1!$A$2:$A$22000=$A$1,ROW(Sheet1!$B$2:$B$22000)),ROW($A210:$F210))-1,3)</f>
        <v>0</v>
      </c>
      <c r="E212" s="4">
        <f t="array" ref="E212">INDEX(Sheet1!$B$2:$F$22000,SMALL(IF(Sheet1!$A$2:$A$22000=$A$1,ROW(Sheet1!$B$2:$B$22000)),ROW($A210:$F210))-1,4)</f>
        <v>0</v>
      </c>
      <c r="F212" s="4">
        <f t="array" ref="F212">INDEX(Sheet1!$B$2:$F$22000,SMALL(IF(Sheet1!$A$2:$A$22000=$A$1,ROW(Sheet1!$B$2:$B$22000)),ROW($A210:$F210))-1,5)</f>
        <v>0</v>
      </c>
      <c r="M212" s="9">
        <v>210</v>
      </c>
      <c r="N212" s="10">
        <f t="shared" si="21"/>
        <v>0</v>
      </c>
      <c r="O212" s="11">
        <f t="shared" si="22"/>
        <v>0</v>
      </c>
      <c r="P212" s="12">
        <f t="shared" si="23"/>
        <v>0</v>
      </c>
      <c r="Q212" s="13">
        <f t="shared" si="24"/>
        <v>0</v>
      </c>
      <c r="V212" s="14">
        <f t="shared" si="20"/>
        <v>0.41015625</v>
      </c>
      <c r="W212" s="10">
        <f t="shared" si="25"/>
        <v>0</v>
      </c>
      <c r="X212" s="11">
        <f t="shared" si="25"/>
        <v>0</v>
      </c>
      <c r="Y212" s="12">
        <f t="shared" si="25"/>
        <v>0</v>
      </c>
      <c r="Z212" s="13">
        <f t="shared" si="25"/>
        <v>0</v>
      </c>
    </row>
    <row r="213" spans="2:26" x14ac:dyDescent="0.25">
      <c r="B213" s="4">
        <v>211</v>
      </c>
      <c r="C213" s="4">
        <f t="array" ref="C213">INDEX(Sheet1!$B$2:$F$22000,SMALL(IF(Sheet1!$A$2:$A$22000=$A$1,ROW(Sheet1!$B$2:$B$22000)),ROW($A211:$F211))-1,2)</f>
        <v>0</v>
      </c>
      <c r="D213" s="4">
        <f t="array" ref="D213">INDEX(Sheet1!$B$2:$F$22000,SMALL(IF(Sheet1!$A$2:$A$22000=$A$1,ROW(Sheet1!$B$2:$B$22000)),ROW($A211:$F211))-1,3)</f>
        <v>0</v>
      </c>
      <c r="E213" s="4">
        <f t="array" ref="E213">INDEX(Sheet1!$B$2:$F$22000,SMALL(IF(Sheet1!$A$2:$A$22000=$A$1,ROW(Sheet1!$B$2:$B$22000)),ROW($A211:$F211))-1,4)</f>
        <v>0</v>
      </c>
      <c r="F213" s="4">
        <f t="array" ref="F213">INDEX(Sheet1!$B$2:$F$22000,SMALL(IF(Sheet1!$A$2:$A$22000=$A$1,ROW(Sheet1!$B$2:$B$22000)),ROW($A211:$F211))-1,5)</f>
        <v>0</v>
      </c>
      <c r="M213" s="9">
        <v>211</v>
      </c>
      <c r="N213" s="10">
        <f t="shared" si="21"/>
        <v>0</v>
      </c>
      <c r="O213" s="11">
        <f t="shared" si="22"/>
        <v>0</v>
      </c>
      <c r="P213" s="12">
        <f t="shared" si="23"/>
        <v>0</v>
      </c>
      <c r="Q213" s="13">
        <f t="shared" si="24"/>
        <v>0</v>
      </c>
      <c r="V213" s="14">
        <f t="shared" si="20"/>
        <v>0.412109375</v>
      </c>
      <c r="W213" s="10">
        <f t="shared" si="25"/>
        <v>0</v>
      </c>
      <c r="X213" s="11">
        <f t="shared" si="25"/>
        <v>0</v>
      </c>
      <c r="Y213" s="12">
        <f t="shared" si="25"/>
        <v>0</v>
      </c>
      <c r="Z213" s="13">
        <f t="shared" si="25"/>
        <v>0</v>
      </c>
    </row>
    <row r="214" spans="2:26" x14ac:dyDescent="0.25">
      <c r="B214" s="4">
        <v>212</v>
      </c>
      <c r="C214" s="4">
        <f t="array" ref="C214">INDEX(Sheet1!$B$2:$F$22000,SMALL(IF(Sheet1!$A$2:$A$22000=$A$1,ROW(Sheet1!$B$2:$B$22000)),ROW($A212:$F212))-1,2)</f>
        <v>0</v>
      </c>
      <c r="D214" s="4">
        <f t="array" ref="D214">INDEX(Sheet1!$B$2:$F$22000,SMALL(IF(Sheet1!$A$2:$A$22000=$A$1,ROW(Sheet1!$B$2:$B$22000)),ROW($A212:$F212))-1,3)</f>
        <v>0</v>
      </c>
      <c r="E214" s="4">
        <f t="array" ref="E214">INDEX(Sheet1!$B$2:$F$22000,SMALL(IF(Sheet1!$A$2:$A$22000=$A$1,ROW(Sheet1!$B$2:$B$22000)),ROW($A212:$F212))-1,4)</f>
        <v>0</v>
      </c>
      <c r="F214" s="4">
        <f t="array" ref="F214">INDEX(Sheet1!$B$2:$F$22000,SMALL(IF(Sheet1!$A$2:$A$22000=$A$1,ROW(Sheet1!$B$2:$B$22000)),ROW($A212:$F212))-1,5)</f>
        <v>0</v>
      </c>
      <c r="M214" s="9">
        <v>212</v>
      </c>
      <c r="N214" s="10">
        <f t="shared" si="21"/>
        <v>0</v>
      </c>
      <c r="O214" s="11">
        <f t="shared" si="22"/>
        <v>0</v>
      </c>
      <c r="P214" s="12">
        <f t="shared" si="23"/>
        <v>0</v>
      </c>
      <c r="Q214" s="13">
        <f t="shared" si="24"/>
        <v>0</v>
      </c>
      <c r="V214" s="14">
        <f t="shared" si="20"/>
        <v>0.4140625</v>
      </c>
      <c r="W214" s="10">
        <f t="shared" si="25"/>
        <v>0</v>
      </c>
      <c r="X214" s="11">
        <f t="shared" si="25"/>
        <v>0</v>
      </c>
      <c r="Y214" s="12">
        <f t="shared" si="25"/>
        <v>0</v>
      </c>
      <c r="Z214" s="13">
        <f t="shared" si="25"/>
        <v>0</v>
      </c>
    </row>
    <row r="215" spans="2:26" x14ac:dyDescent="0.25">
      <c r="B215" s="4">
        <v>213</v>
      </c>
      <c r="C215" s="4">
        <f t="array" ref="C215">INDEX(Sheet1!$B$2:$F$22000,SMALL(IF(Sheet1!$A$2:$A$22000=$A$1,ROW(Sheet1!$B$2:$B$22000)),ROW($A213:$F213))-1,2)</f>
        <v>0</v>
      </c>
      <c r="D215" s="4">
        <f t="array" ref="D215">INDEX(Sheet1!$B$2:$F$22000,SMALL(IF(Sheet1!$A$2:$A$22000=$A$1,ROW(Sheet1!$B$2:$B$22000)),ROW($A213:$F213))-1,3)</f>
        <v>0</v>
      </c>
      <c r="E215" s="4">
        <f t="array" ref="E215">INDEX(Sheet1!$B$2:$F$22000,SMALL(IF(Sheet1!$A$2:$A$22000=$A$1,ROW(Sheet1!$B$2:$B$22000)),ROW($A213:$F213))-1,4)</f>
        <v>0</v>
      </c>
      <c r="F215" s="4">
        <f t="array" ref="F215">INDEX(Sheet1!$B$2:$F$22000,SMALL(IF(Sheet1!$A$2:$A$22000=$A$1,ROW(Sheet1!$B$2:$B$22000)),ROW($A213:$F213))-1,5)</f>
        <v>0</v>
      </c>
      <c r="M215" s="9">
        <v>213</v>
      </c>
      <c r="N215" s="10">
        <f t="shared" si="21"/>
        <v>0</v>
      </c>
      <c r="O215" s="11">
        <f t="shared" si="22"/>
        <v>0</v>
      </c>
      <c r="P215" s="12">
        <f t="shared" si="23"/>
        <v>0</v>
      </c>
      <c r="Q215" s="13">
        <f t="shared" si="24"/>
        <v>0</v>
      </c>
      <c r="V215" s="14">
        <f t="shared" si="20"/>
        <v>0.416015625</v>
      </c>
      <c r="W215" s="10">
        <f t="shared" si="25"/>
        <v>0</v>
      </c>
      <c r="X215" s="11">
        <f t="shared" si="25"/>
        <v>0</v>
      </c>
      <c r="Y215" s="12">
        <f t="shared" si="25"/>
        <v>0</v>
      </c>
      <c r="Z215" s="13">
        <f t="shared" si="25"/>
        <v>0</v>
      </c>
    </row>
    <row r="216" spans="2:26" x14ac:dyDescent="0.25">
      <c r="B216" s="4">
        <v>214</v>
      </c>
      <c r="C216" s="4">
        <f t="array" ref="C216">INDEX(Sheet1!$B$2:$F$22000,SMALL(IF(Sheet1!$A$2:$A$22000=$A$1,ROW(Sheet1!$B$2:$B$22000)),ROW($A214:$F214))-1,2)</f>
        <v>0</v>
      </c>
      <c r="D216" s="4">
        <f t="array" ref="D216">INDEX(Sheet1!$B$2:$F$22000,SMALL(IF(Sheet1!$A$2:$A$22000=$A$1,ROW(Sheet1!$B$2:$B$22000)),ROW($A214:$F214))-1,3)</f>
        <v>0</v>
      </c>
      <c r="E216" s="4">
        <f t="array" ref="E216">INDEX(Sheet1!$B$2:$F$22000,SMALL(IF(Sheet1!$A$2:$A$22000=$A$1,ROW(Sheet1!$B$2:$B$22000)),ROW($A214:$F214))-1,4)</f>
        <v>0</v>
      </c>
      <c r="F216" s="4">
        <f t="array" ref="F216">INDEX(Sheet1!$B$2:$F$22000,SMALL(IF(Sheet1!$A$2:$A$22000=$A$1,ROW(Sheet1!$B$2:$B$22000)),ROW($A214:$F214))-1,5)</f>
        <v>0</v>
      </c>
      <c r="M216" s="9">
        <v>214</v>
      </c>
      <c r="N216" s="10">
        <f t="shared" si="21"/>
        <v>0</v>
      </c>
      <c r="O216" s="11">
        <f t="shared" si="22"/>
        <v>0</v>
      </c>
      <c r="P216" s="12">
        <f t="shared" si="23"/>
        <v>0</v>
      </c>
      <c r="Q216" s="13">
        <f t="shared" si="24"/>
        <v>0</v>
      </c>
      <c r="V216" s="14">
        <f t="shared" si="20"/>
        <v>0.41796875</v>
      </c>
      <c r="W216" s="10">
        <f t="shared" si="25"/>
        <v>0</v>
      </c>
      <c r="X216" s="11">
        <f t="shared" si="25"/>
        <v>0</v>
      </c>
      <c r="Y216" s="12">
        <f t="shared" si="25"/>
        <v>0</v>
      </c>
      <c r="Z216" s="13">
        <f t="shared" si="25"/>
        <v>0</v>
      </c>
    </row>
    <row r="217" spans="2:26" x14ac:dyDescent="0.25">
      <c r="B217" s="4">
        <v>215</v>
      </c>
      <c r="C217" s="4">
        <f t="array" ref="C217">INDEX(Sheet1!$B$2:$F$22000,SMALL(IF(Sheet1!$A$2:$A$22000=$A$1,ROW(Sheet1!$B$2:$B$22000)),ROW($A215:$F215))-1,2)</f>
        <v>0</v>
      </c>
      <c r="D217" s="4">
        <f t="array" ref="D217">INDEX(Sheet1!$B$2:$F$22000,SMALL(IF(Sheet1!$A$2:$A$22000=$A$1,ROW(Sheet1!$B$2:$B$22000)),ROW($A215:$F215))-1,3)</f>
        <v>0</v>
      </c>
      <c r="E217" s="4">
        <f t="array" ref="E217">INDEX(Sheet1!$B$2:$F$22000,SMALL(IF(Sheet1!$A$2:$A$22000=$A$1,ROW(Sheet1!$B$2:$B$22000)),ROW($A215:$F215))-1,4)</f>
        <v>0</v>
      </c>
      <c r="F217" s="4">
        <f t="array" ref="F217">INDEX(Sheet1!$B$2:$F$22000,SMALL(IF(Sheet1!$A$2:$A$22000=$A$1,ROW(Sheet1!$B$2:$B$22000)),ROW($A215:$F215))-1,5)</f>
        <v>0</v>
      </c>
      <c r="M217" s="9">
        <v>215</v>
      </c>
      <c r="N217" s="10">
        <f t="shared" si="21"/>
        <v>0</v>
      </c>
      <c r="O217" s="11">
        <f t="shared" si="22"/>
        <v>0</v>
      </c>
      <c r="P217" s="12">
        <f t="shared" si="23"/>
        <v>0</v>
      </c>
      <c r="Q217" s="13">
        <f t="shared" si="24"/>
        <v>0</v>
      </c>
      <c r="V217" s="14">
        <f t="shared" si="20"/>
        <v>0.419921875</v>
      </c>
      <c r="W217" s="10">
        <f t="shared" si="25"/>
        <v>0</v>
      </c>
      <c r="X217" s="11">
        <f t="shared" si="25"/>
        <v>0</v>
      </c>
      <c r="Y217" s="12">
        <f t="shared" si="25"/>
        <v>0</v>
      </c>
      <c r="Z217" s="13">
        <f t="shared" si="25"/>
        <v>0</v>
      </c>
    </row>
    <row r="218" spans="2:26" x14ac:dyDescent="0.25">
      <c r="B218" s="4">
        <v>216</v>
      </c>
      <c r="C218" s="4">
        <f t="array" ref="C218">INDEX(Sheet1!$B$2:$F$22000,SMALL(IF(Sheet1!$A$2:$A$22000=$A$1,ROW(Sheet1!$B$2:$B$22000)),ROW($A216:$F216))-1,2)</f>
        <v>0</v>
      </c>
      <c r="D218" s="4">
        <f t="array" ref="D218">INDEX(Sheet1!$B$2:$F$22000,SMALL(IF(Sheet1!$A$2:$A$22000=$A$1,ROW(Sheet1!$B$2:$B$22000)),ROW($A216:$F216))-1,3)</f>
        <v>0</v>
      </c>
      <c r="E218" s="4">
        <f t="array" ref="E218">INDEX(Sheet1!$B$2:$F$22000,SMALL(IF(Sheet1!$A$2:$A$22000=$A$1,ROW(Sheet1!$B$2:$B$22000)),ROW($A216:$F216))-1,4)</f>
        <v>0</v>
      </c>
      <c r="F218" s="4">
        <f t="array" ref="F218">INDEX(Sheet1!$B$2:$F$22000,SMALL(IF(Sheet1!$A$2:$A$22000=$A$1,ROW(Sheet1!$B$2:$B$22000)),ROW($A216:$F216))-1,5)</f>
        <v>0</v>
      </c>
      <c r="M218" s="9">
        <v>216</v>
      </c>
      <c r="N218" s="10">
        <f t="shared" si="21"/>
        <v>0</v>
      </c>
      <c r="O218" s="11">
        <f t="shared" si="22"/>
        <v>0</v>
      </c>
      <c r="P218" s="12">
        <f t="shared" si="23"/>
        <v>0</v>
      </c>
      <c r="Q218" s="13">
        <f t="shared" si="24"/>
        <v>0</v>
      </c>
      <c r="V218" s="14">
        <f t="shared" si="20"/>
        <v>0.421875</v>
      </c>
      <c r="W218" s="10">
        <f t="shared" si="25"/>
        <v>0</v>
      </c>
      <c r="X218" s="11">
        <f t="shared" si="25"/>
        <v>0</v>
      </c>
      <c r="Y218" s="12">
        <f t="shared" si="25"/>
        <v>0</v>
      </c>
      <c r="Z218" s="13">
        <f t="shared" si="25"/>
        <v>0</v>
      </c>
    </row>
    <row r="219" spans="2:26" x14ac:dyDescent="0.25">
      <c r="B219" s="4">
        <v>217</v>
      </c>
      <c r="C219" s="4">
        <f t="array" ref="C219">INDEX(Sheet1!$B$2:$F$22000,SMALL(IF(Sheet1!$A$2:$A$22000=$A$1,ROW(Sheet1!$B$2:$B$22000)),ROW($A217:$F217))-1,2)</f>
        <v>0</v>
      </c>
      <c r="D219" s="4">
        <f t="array" ref="D219">INDEX(Sheet1!$B$2:$F$22000,SMALL(IF(Sheet1!$A$2:$A$22000=$A$1,ROW(Sheet1!$B$2:$B$22000)),ROW($A217:$F217))-1,3)</f>
        <v>0</v>
      </c>
      <c r="E219" s="4">
        <f t="array" ref="E219">INDEX(Sheet1!$B$2:$F$22000,SMALL(IF(Sheet1!$A$2:$A$22000=$A$1,ROW(Sheet1!$B$2:$B$22000)),ROW($A217:$F217))-1,4)</f>
        <v>0</v>
      </c>
      <c r="F219" s="4">
        <f t="array" ref="F219">INDEX(Sheet1!$B$2:$F$22000,SMALL(IF(Sheet1!$A$2:$A$22000=$A$1,ROW(Sheet1!$B$2:$B$22000)),ROW($A217:$F217))-1,5)</f>
        <v>0</v>
      </c>
      <c r="M219" s="9">
        <v>217</v>
      </c>
      <c r="N219" s="10">
        <f t="shared" si="21"/>
        <v>0</v>
      </c>
      <c r="O219" s="11">
        <f t="shared" si="22"/>
        <v>0</v>
      </c>
      <c r="P219" s="12">
        <f t="shared" si="23"/>
        <v>0</v>
      </c>
      <c r="Q219" s="13">
        <f t="shared" si="24"/>
        <v>0</v>
      </c>
      <c r="V219" s="14">
        <f t="shared" si="20"/>
        <v>0.423828125</v>
      </c>
      <c r="W219" s="10">
        <f t="shared" si="25"/>
        <v>0</v>
      </c>
      <c r="X219" s="11">
        <f t="shared" si="25"/>
        <v>0</v>
      </c>
      <c r="Y219" s="12">
        <f t="shared" si="25"/>
        <v>0</v>
      </c>
      <c r="Z219" s="13">
        <f t="shared" si="25"/>
        <v>0</v>
      </c>
    </row>
    <row r="220" spans="2:26" x14ac:dyDescent="0.25">
      <c r="B220" s="4">
        <v>218</v>
      </c>
      <c r="C220" s="4">
        <f t="array" ref="C220">INDEX(Sheet1!$B$2:$F$22000,SMALL(IF(Sheet1!$A$2:$A$22000=$A$1,ROW(Sheet1!$B$2:$B$22000)),ROW($A218:$F218))-1,2)</f>
        <v>0</v>
      </c>
      <c r="D220" s="4">
        <f t="array" ref="D220">INDEX(Sheet1!$B$2:$F$22000,SMALL(IF(Sheet1!$A$2:$A$22000=$A$1,ROW(Sheet1!$B$2:$B$22000)),ROW($A218:$F218))-1,3)</f>
        <v>0</v>
      </c>
      <c r="E220" s="4">
        <f t="array" ref="E220">INDEX(Sheet1!$B$2:$F$22000,SMALL(IF(Sheet1!$A$2:$A$22000=$A$1,ROW(Sheet1!$B$2:$B$22000)),ROW($A218:$F218))-1,4)</f>
        <v>0</v>
      </c>
      <c r="F220" s="4">
        <f t="array" ref="F220">INDEX(Sheet1!$B$2:$F$22000,SMALL(IF(Sheet1!$A$2:$A$22000=$A$1,ROW(Sheet1!$B$2:$B$22000)),ROW($A218:$F218))-1,5)</f>
        <v>0</v>
      </c>
      <c r="M220" s="9">
        <v>218</v>
      </c>
      <c r="N220" s="10">
        <f t="shared" si="21"/>
        <v>0</v>
      </c>
      <c r="O220" s="11">
        <f t="shared" si="22"/>
        <v>0</v>
      </c>
      <c r="P220" s="12">
        <f t="shared" si="23"/>
        <v>0</v>
      </c>
      <c r="Q220" s="13">
        <f t="shared" si="24"/>
        <v>0</v>
      </c>
      <c r="V220" s="14">
        <f t="shared" si="20"/>
        <v>0.42578125</v>
      </c>
      <c r="W220" s="10">
        <f t="shared" si="25"/>
        <v>0</v>
      </c>
      <c r="X220" s="11">
        <f t="shared" si="25"/>
        <v>0</v>
      </c>
      <c r="Y220" s="12">
        <f t="shared" si="25"/>
        <v>0</v>
      </c>
      <c r="Z220" s="13">
        <f t="shared" si="25"/>
        <v>0</v>
      </c>
    </row>
    <row r="221" spans="2:26" x14ac:dyDescent="0.25">
      <c r="B221" s="4">
        <v>219</v>
      </c>
      <c r="C221" s="4">
        <f t="array" ref="C221">INDEX(Sheet1!$B$2:$F$22000,SMALL(IF(Sheet1!$A$2:$A$22000=$A$1,ROW(Sheet1!$B$2:$B$22000)),ROW($A219:$F219))-1,2)</f>
        <v>0</v>
      </c>
      <c r="D221" s="4">
        <f t="array" ref="D221">INDEX(Sheet1!$B$2:$F$22000,SMALL(IF(Sheet1!$A$2:$A$22000=$A$1,ROW(Sheet1!$B$2:$B$22000)),ROW($A219:$F219))-1,3)</f>
        <v>0</v>
      </c>
      <c r="E221" s="4">
        <f t="array" ref="E221">INDEX(Sheet1!$B$2:$F$22000,SMALL(IF(Sheet1!$A$2:$A$22000=$A$1,ROW(Sheet1!$B$2:$B$22000)),ROW($A219:$F219))-1,4)</f>
        <v>0</v>
      </c>
      <c r="F221" s="4">
        <f t="array" ref="F221">INDEX(Sheet1!$B$2:$F$22000,SMALL(IF(Sheet1!$A$2:$A$22000=$A$1,ROW(Sheet1!$B$2:$B$22000)),ROW($A219:$F219))-1,5)</f>
        <v>0</v>
      </c>
      <c r="M221" s="9">
        <v>219</v>
      </c>
      <c r="N221" s="10">
        <f t="shared" si="21"/>
        <v>0</v>
      </c>
      <c r="O221" s="11">
        <f t="shared" si="22"/>
        <v>0</v>
      </c>
      <c r="P221" s="12">
        <f t="shared" si="23"/>
        <v>0</v>
      </c>
      <c r="Q221" s="13">
        <f t="shared" si="24"/>
        <v>0</v>
      </c>
      <c r="V221" s="14">
        <f t="shared" si="20"/>
        <v>0.427734375</v>
      </c>
      <c r="W221" s="10">
        <f t="shared" si="25"/>
        <v>0</v>
      </c>
      <c r="X221" s="11">
        <f t="shared" si="25"/>
        <v>0</v>
      </c>
      <c r="Y221" s="12">
        <f t="shared" si="25"/>
        <v>0</v>
      </c>
      <c r="Z221" s="13">
        <f t="shared" si="25"/>
        <v>0</v>
      </c>
    </row>
    <row r="222" spans="2:26" x14ac:dyDescent="0.25">
      <c r="B222" s="4">
        <v>220</v>
      </c>
      <c r="C222" s="4">
        <f t="array" ref="C222">INDEX(Sheet1!$B$2:$F$22000,SMALL(IF(Sheet1!$A$2:$A$22000=$A$1,ROW(Sheet1!$B$2:$B$22000)),ROW($A220:$F220))-1,2)</f>
        <v>0</v>
      </c>
      <c r="D222" s="4">
        <f t="array" ref="D222">INDEX(Sheet1!$B$2:$F$22000,SMALL(IF(Sheet1!$A$2:$A$22000=$A$1,ROW(Sheet1!$B$2:$B$22000)),ROW($A220:$F220))-1,3)</f>
        <v>0</v>
      </c>
      <c r="E222" s="4">
        <f t="array" ref="E222">INDEX(Sheet1!$B$2:$F$22000,SMALL(IF(Sheet1!$A$2:$A$22000=$A$1,ROW(Sheet1!$B$2:$B$22000)),ROW($A220:$F220))-1,4)</f>
        <v>0</v>
      </c>
      <c r="F222" s="4">
        <f t="array" ref="F222">INDEX(Sheet1!$B$2:$F$22000,SMALL(IF(Sheet1!$A$2:$A$22000=$A$1,ROW(Sheet1!$B$2:$B$22000)),ROW($A220:$F220))-1,5)</f>
        <v>0</v>
      </c>
      <c r="M222" s="9">
        <v>220</v>
      </c>
      <c r="N222" s="10">
        <f t="shared" si="21"/>
        <v>0</v>
      </c>
      <c r="O222" s="11">
        <f t="shared" si="22"/>
        <v>0</v>
      </c>
      <c r="P222" s="12">
        <f t="shared" si="23"/>
        <v>0</v>
      </c>
      <c r="Q222" s="13">
        <f t="shared" si="24"/>
        <v>0</v>
      </c>
      <c r="V222" s="14">
        <f t="shared" si="20"/>
        <v>0.4296875</v>
      </c>
      <c r="W222" s="10">
        <f t="shared" si="25"/>
        <v>0</v>
      </c>
      <c r="X222" s="11">
        <f t="shared" si="25"/>
        <v>0</v>
      </c>
      <c r="Y222" s="12">
        <f t="shared" si="25"/>
        <v>0</v>
      </c>
      <c r="Z222" s="13">
        <f t="shared" si="25"/>
        <v>0</v>
      </c>
    </row>
    <row r="223" spans="2:26" x14ac:dyDescent="0.25">
      <c r="B223" s="4">
        <v>221</v>
      </c>
      <c r="C223" s="4">
        <f t="array" ref="C223">INDEX(Sheet1!$B$2:$F$22000,SMALL(IF(Sheet1!$A$2:$A$22000=$A$1,ROW(Sheet1!$B$2:$B$22000)),ROW($A221:$F221))-1,2)</f>
        <v>0</v>
      </c>
      <c r="D223" s="4">
        <f t="array" ref="D223">INDEX(Sheet1!$B$2:$F$22000,SMALL(IF(Sheet1!$A$2:$A$22000=$A$1,ROW(Sheet1!$B$2:$B$22000)),ROW($A221:$F221))-1,3)</f>
        <v>0</v>
      </c>
      <c r="E223" s="4">
        <f t="array" ref="E223">INDEX(Sheet1!$B$2:$F$22000,SMALL(IF(Sheet1!$A$2:$A$22000=$A$1,ROW(Sheet1!$B$2:$B$22000)),ROW($A221:$F221))-1,4)</f>
        <v>0</v>
      </c>
      <c r="F223" s="4">
        <f t="array" ref="F223">INDEX(Sheet1!$B$2:$F$22000,SMALL(IF(Sheet1!$A$2:$A$22000=$A$1,ROW(Sheet1!$B$2:$B$22000)),ROW($A221:$F221))-1,5)</f>
        <v>0</v>
      </c>
      <c r="M223" s="9">
        <v>221</v>
      </c>
      <c r="N223" s="10">
        <f t="shared" si="21"/>
        <v>0</v>
      </c>
      <c r="O223" s="11">
        <f t="shared" si="22"/>
        <v>0</v>
      </c>
      <c r="P223" s="12">
        <f t="shared" si="23"/>
        <v>0</v>
      </c>
      <c r="Q223" s="13">
        <f t="shared" si="24"/>
        <v>0</v>
      </c>
      <c r="V223" s="14">
        <f t="shared" si="20"/>
        <v>0.431640625</v>
      </c>
      <c r="W223" s="10">
        <f t="shared" si="25"/>
        <v>0</v>
      </c>
      <c r="X223" s="11">
        <f t="shared" si="25"/>
        <v>0</v>
      </c>
      <c r="Y223" s="12">
        <f t="shared" si="25"/>
        <v>0</v>
      </c>
      <c r="Z223" s="13">
        <f t="shared" si="25"/>
        <v>0</v>
      </c>
    </row>
    <row r="224" spans="2:26" x14ac:dyDescent="0.25">
      <c r="B224" s="4">
        <v>222</v>
      </c>
      <c r="C224" s="4">
        <f t="array" ref="C224">INDEX(Sheet1!$B$2:$F$22000,SMALL(IF(Sheet1!$A$2:$A$22000=$A$1,ROW(Sheet1!$B$2:$B$22000)),ROW($A222:$F222))-1,2)</f>
        <v>0</v>
      </c>
      <c r="D224" s="4">
        <f t="array" ref="D224">INDEX(Sheet1!$B$2:$F$22000,SMALL(IF(Sheet1!$A$2:$A$22000=$A$1,ROW(Sheet1!$B$2:$B$22000)),ROW($A222:$F222))-1,3)</f>
        <v>0</v>
      </c>
      <c r="E224" s="4">
        <f t="array" ref="E224">INDEX(Sheet1!$B$2:$F$22000,SMALL(IF(Sheet1!$A$2:$A$22000=$A$1,ROW(Sheet1!$B$2:$B$22000)),ROW($A222:$F222))-1,4)</f>
        <v>0</v>
      </c>
      <c r="F224" s="4">
        <f t="array" ref="F224">INDEX(Sheet1!$B$2:$F$22000,SMALL(IF(Sheet1!$A$2:$A$22000=$A$1,ROW(Sheet1!$B$2:$B$22000)),ROW($A222:$F222))-1,5)</f>
        <v>0</v>
      </c>
      <c r="M224" s="9">
        <v>222</v>
      </c>
      <c r="N224" s="10">
        <f t="shared" si="21"/>
        <v>0</v>
      </c>
      <c r="O224" s="11">
        <f t="shared" si="22"/>
        <v>0</v>
      </c>
      <c r="P224" s="12">
        <f t="shared" si="23"/>
        <v>0</v>
      </c>
      <c r="Q224" s="13">
        <f t="shared" si="24"/>
        <v>0</v>
      </c>
      <c r="V224" s="14">
        <f t="shared" si="20"/>
        <v>0.43359375</v>
      </c>
      <c r="W224" s="10">
        <f t="shared" si="25"/>
        <v>0</v>
      </c>
      <c r="X224" s="11">
        <f t="shared" si="25"/>
        <v>0</v>
      </c>
      <c r="Y224" s="12">
        <f t="shared" si="25"/>
        <v>0</v>
      </c>
      <c r="Z224" s="13">
        <f t="shared" si="25"/>
        <v>0</v>
      </c>
    </row>
    <row r="225" spans="2:26" x14ac:dyDescent="0.25">
      <c r="B225" s="4">
        <v>223</v>
      </c>
      <c r="C225" s="4">
        <f t="array" ref="C225">INDEX(Sheet1!$B$2:$F$22000,SMALL(IF(Sheet1!$A$2:$A$22000=$A$1,ROW(Sheet1!$B$2:$B$22000)),ROW($A223:$F223))-1,2)</f>
        <v>0</v>
      </c>
      <c r="D225" s="4">
        <f t="array" ref="D225">INDEX(Sheet1!$B$2:$F$22000,SMALL(IF(Sheet1!$A$2:$A$22000=$A$1,ROW(Sheet1!$B$2:$B$22000)),ROW($A223:$F223))-1,3)</f>
        <v>0</v>
      </c>
      <c r="E225" s="4">
        <f t="array" ref="E225">INDEX(Sheet1!$B$2:$F$22000,SMALL(IF(Sheet1!$A$2:$A$22000=$A$1,ROW(Sheet1!$B$2:$B$22000)),ROW($A223:$F223))-1,4)</f>
        <v>0</v>
      </c>
      <c r="F225" s="4">
        <f t="array" ref="F225">INDEX(Sheet1!$B$2:$F$22000,SMALL(IF(Sheet1!$A$2:$A$22000=$A$1,ROW(Sheet1!$B$2:$B$22000)),ROW($A223:$F223))-1,5)</f>
        <v>0</v>
      </c>
      <c r="M225" s="9">
        <v>223</v>
      </c>
      <c r="N225" s="10">
        <f t="shared" si="21"/>
        <v>0</v>
      </c>
      <c r="O225" s="11">
        <f t="shared" si="22"/>
        <v>0</v>
      </c>
      <c r="P225" s="12">
        <f t="shared" si="23"/>
        <v>0</v>
      </c>
      <c r="Q225" s="13">
        <f t="shared" si="24"/>
        <v>0</v>
      </c>
      <c r="V225" s="14">
        <f t="shared" si="20"/>
        <v>0.435546875</v>
      </c>
      <c r="W225" s="10">
        <f t="shared" si="25"/>
        <v>0</v>
      </c>
      <c r="X225" s="11">
        <f t="shared" si="25"/>
        <v>0</v>
      </c>
      <c r="Y225" s="12">
        <f t="shared" si="25"/>
        <v>0</v>
      </c>
      <c r="Z225" s="13">
        <f t="shared" si="25"/>
        <v>0</v>
      </c>
    </row>
    <row r="226" spans="2:26" x14ac:dyDescent="0.25">
      <c r="B226" s="4">
        <v>224</v>
      </c>
      <c r="C226" s="4">
        <f t="array" ref="C226">INDEX(Sheet1!$B$2:$F$22000,SMALL(IF(Sheet1!$A$2:$A$22000=$A$1,ROW(Sheet1!$B$2:$B$22000)),ROW($A224:$F224))-1,2)</f>
        <v>0</v>
      </c>
      <c r="D226" s="4">
        <f t="array" ref="D226">INDEX(Sheet1!$B$2:$F$22000,SMALL(IF(Sheet1!$A$2:$A$22000=$A$1,ROW(Sheet1!$B$2:$B$22000)),ROW($A224:$F224))-1,3)</f>
        <v>0</v>
      </c>
      <c r="E226" s="4">
        <f t="array" ref="E226">INDEX(Sheet1!$B$2:$F$22000,SMALL(IF(Sheet1!$A$2:$A$22000=$A$1,ROW(Sheet1!$B$2:$B$22000)),ROW($A224:$F224))-1,4)</f>
        <v>0</v>
      </c>
      <c r="F226" s="4">
        <f t="array" ref="F226">INDEX(Sheet1!$B$2:$F$22000,SMALL(IF(Sheet1!$A$2:$A$22000=$A$1,ROW(Sheet1!$B$2:$B$22000)),ROW($A224:$F224))-1,5)</f>
        <v>0</v>
      </c>
      <c r="M226" s="9">
        <v>224</v>
      </c>
      <c r="N226" s="10">
        <f t="shared" si="21"/>
        <v>0</v>
      </c>
      <c r="O226" s="11">
        <f t="shared" si="22"/>
        <v>0</v>
      </c>
      <c r="P226" s="12">
        <f t="shared" si="23"/>
        <v>0</v>
      </c>
      <c r="Q226" s="13">
        <f t="shared" si="24"/>
        <v>0</v>
      </c>
      <c r="V226" s="14">
        <f t="shared" si="20"/>
        <v>0.4375</v>
      </c>
      <c r="W226" s="10">
        <f t="shared" si="25"/>
        <v>0</v>
      </c>
      <c r="X226" s="11">
        <f t="shared" si="25"/>
        <v>0</v>
      </c>
      <c r="Y226" s="12">
        <f t="shared" si="25"/>
        <v>0</v>
      </c>
      <c r="Z226" s="13">
        <f t="shared" si="25"/>
        <v>0</v>
      </c>
    </row>
    <row r="227" spans="2:26" x14ac:dyDescent="0.25">
      <c r="B227" s="4">
        <v>225</v>
      </c>
      <c r="C227" s="4">
        <f t="array" ref="C227">INDEX(Sheet1!$B$2:$F$22000,SMALL(IF(Sheet1!$A$2:$A$22000=$A$1,ROW(Sheet1!$B$2:$B$22000)),ROW($A225:$F225))-1,2)</f>
        <v>0</v>
      </c>
      <c r="D227" s="4">
        <f t="array" ref="D227">INDEX(Sheet1!$B$2:$F$22000,SMALL(IF(Sheet1!$A$2:$A$22000=$A$1,ROW(Sheet1!$B$2:$B$22000)),ROW($A225:$F225))-1,3)</f>
        <v>0</v>
      </c>
      <c r="E227" s="4">
        <f t="array" ref="E227">INDEX(Sheet1!$B$2:$F$22000,SMALL(IF(Sheet1!$A$2:$A$22000=$A$1,ROW(Sheet1!$B$2:$B$22000)),ROW($A225:$F225))-1,4)</f>
        <v>0</v>
      </c>
      <c r="F227" s="4">
        <f t="array" ref="F227">INDEX(Sheet1!$B$2:$F$22000,SMALL(IF(Sheet1!$A$2:$A$22000=$A$1,ROW(Sheet1!$B$2:$B$22000)),ROW($A225:$F225))-1,5)</f>
        <v>0</v>
      </c>
      <c r="M227" s="9">
        <v>225</v>
      </c>
      <c r="N227" s="10">
        <f t="shared" si="21"/>
        <v>0</v>
      </c>
      <c r="O227" s="11">
        <f t="shared" si="22"/>
        <v>0</v>
      </c>
      <c r="P227" s="12">
        <f t="shared" si="23"/>
        <v>0</v>
      </c>
      <c r="Q227" s="13">
        <f t="shared" si="24"/>
        <v>0</v>
      </c>
      <c r="V227" s="14">
        <f t="shared" si="20"/>
        <v>0.439453125</v>
      </c>
      <c r="W227" s="10">
        <f t="shared" si="25"/>
        <v>0</v>
      </c>
      <c r="X227" s="11">
        <f t="shared" si="25"/>
        <v>0</v>
      </c>
      <c r="Y227" s="12">
        <f t="shared" si="25"/>
        <v>0</v>
      </c>
      <c r="Z227" s="13">
        <f t="shared" si="25"/>
        <v>0</v>
      </c>
    </row>
    <row r="228" spans="2:26" x14ac:dyDescent="0.25">
      <c r="B228" s="4">
        <v>226</v>
      </c>
      <c r="C228" s="4">
        <f t="array" ref="C228">INDEX(Sheet1!$B$2:$F$22000,SMALL(IF(Sheet1!$A$2:$A$22000=$A$1,ROW(Sheet1!$B$2:$B$22000)),ROW($A226:$F226))-1,2)</f>
        <v>0</v>
      </c>
      <c r="D228" s="4">
        <f t="array" ref="D228">INDEX(Sheet1!$B$2:$F$22000,SMALL(IF(Sheet1!$A$2:$A$22000=$A$1,ROW(Sheet1!$B$2:$B$22000)),ROW($A226:$F226))-1,3)</f>
        <v>0</v>
      </c>
      <c r="E228" s="4">
        <f t="array" ref="E228">INDEX(Sheet1!$B$2:$F$22000,SMALL(IF(Sheet1!$A$2:$A$22000=$A$1,ROW(Sheet1!$B$2:$B$22000)),ROW($A226:$F226))-1,4)</f>
        <v>0</v>
      </c>
      <c r="F228" s="4">
        <f t="array" ref="F228">INDEX(Sheet1!$B$2:$F$22000,SMALL(IF(Sheet1!$A$2:$A$22000=$A$1,ROW(Sheet1!$B$2:$B$22000)),ROW($A226:$F226))-1,5)</f>
        <v>0</v>
      </c>
      <c r="M228" s="9">
        <v>226</v>
      </c>
      <c r="N228" s="10">
        <f t="shared" si="21"/>
        <v>0</v>
      </c>
      <c r="O228" s="11">
        <f t="shared" si="22"/>
        <v>0</v>
      </c>
      <c r="P228" s="12">
        <f t="shared" si="23"/>
        <v>0</v>
      </c>
      <c r="Q228" s="13">
        <f t="shared" si="24"/>
        <v>0</v>
      </c>
      <c r="V228" s="14">
        <f t="shared" si="20"/>
        <v>0.44140625</v>
      </c>
      <c r="W228" s="10">
        <f t="shared" si="25"/>
        <v>0</v>
      </c>
      <c r="X228" s="11">
        <f t="shared" si="25"/>
        <v>0</v>
      </c>
      <c r="Y228" s="12">
        <f t="shared" si="25"/>
        <v>0</v>
      </c>
      <c r="Z228" s="13">
        <f t="shared" si="25"/>
        <v>0</v>
      </c>
    </row>
    <row r="229" spans="2:26" x14ac:dyDescent="0.25">
      <c r="B229" s="4">
        <v>227</v>
      </c>
      <c r="C229" s="4">
        <f t="array" ref="C229">INDEX(Sheet1!$B$2:$F$22000,SMALL(IF(Sheet1!$A$2:$A$22000=$A$1,ROW(Sheet1!$B$2:$B$22000)),ROW($A227:$F227))-1,2)</f>
        <v>0</v>
      </c>
      <c r="D229" s="4">
        <f t="array" ref="D229">INDEX(Sheet1!$B$2:$F$22000,SMALL(IF(Sheet1!$A$2:$A$22000=$A$1,ROW(Sheet1!$B$2:$B$22000)),ROW($A227:$F227))-1,3)</f>
        <v>0</v>
      </c>
      <c r="E229" s="4">
        <f t="array" ref="E229">INDEX(Sheet1!$B$2:$F$22000,SMALL(IF(Sheet1!$A$2:$A$22000=$A$1,ROW(Sheet1!$B$2:$B$22000)),ROW($A227:$F227))-1,4)</f>
        <v>0</v>
      </c>
      <c r="F229" s="4">
        <f t="array" ref="F229">INDEX(Sheet1!$B$2:$F$22000,SMALL(IF(Sheet1!$A$2:$A$22000=$A$1,ROW(Sheet1!$B$2:$B$22000)),ROW($A227:$F227))-1,5)</f>
        <v>0</v>
      </c>
      <c r="M229" s="9">
        <v>227</v>
      </c>
      <c r="N229" s="10">
        <f t="shared" si="21"/>
        <v>0</v>
      </c>
      <c r="O229" s="11">
        <f t="shared" si="22"/>
        <v>0</v>
      </c>
      <c r="P229" s="12">
        <f t="shared" si="23"/>
        <v>0</v>
      </c>
      <c r="Q229" s="13">
        <f t="shared" si="24"/>
        <v>0</v>
      </c>
      <c r="V229" s="14">
        <f t="shared" si="20"/>
        <v>0.443359375</v>
      </c>
      <c r="W229" s="10">
        <f t="shared" si="25"/>
        <v>0</v>
      </c>
      <c r="X229" s="11">
        <f t="shared" si="25"/>
        <v>0</v>
      </c>
      <c r="Y229" s="12">
        <f t="shared" si="25"/>
        <v>0</v>
      </c>
      <c r="Z229" s="13">
        <f t="shared" si="25"/>
        <v>0</v>
      </c>
    </row>
    <row r="230" spans="2:26" x14ac:dyDescent="0.25">
      <c r="B230" s="4">
        <v>228</v>
      </c>
      <c r="C230" s="4">
        <f t="array" ref="C230">INDEX(Sheet1!$B$2:$F$22000,SMALL(IF(Sheet1!$A$2:$A$22000=$A$1,ROW(Sheet1!$B$2:$B$22000)),ROW($A228:$F228))-1,2)</f>
        <v>0</v>
      </c>
      <c r="D230" s="4">
        <f t="array" ref="D230">INDEX(Sheet1!$B$2:$F$22000,SMALL(IF(Sheet1!$A$2:$A$22000=$A$1,ROW(Sheet1!$B$2:$B$22000)),ROW($A228:$F228))-1,3)</f>
        <v>0</v>
      </c>
      <c r="E230" s="4">
        <f t="array" ref="E230">INDEX(Sheet1!$B$2:$F$22000,SMALL(IF(Sheet1!$A$2:$A$22000=$A$1,ROW(Sheet1!$B$2:$B$22000)),ROW($A228:$F228))-1,4)</f>
        <v>0</v>
      </c>
      <c r="F230" s="4">
        <f t="array" ref="F230">INDEX(Sheet1!$B$2:$F$22000,SMALL(IF(Sheet1!$A$2:$A$22000=$A$1,ROW(Sheet1!$B$2:$B$22000)),ROW($A228:$F228))-1,5)</f>
        <v>0</v>
      </c>
      <c r="M230" s="9">
        <v>228</v>
      </c>
      <c r="N230" s="10">
        <f t="shared" si="21"/>
        <v>0</v>
      </c>
      <c r="O230" s="11">
        <f t="shared" si="22"/>
        <v>0</v>
      </c>
      <c r="P230" s="12">
        <f t="shared" si="23"/>
        <v>0</v>
      </c>
      <c r="Q230" s="13">
        <f t="shared" si="24"/>
        <v>0</v>
      </c>
      <c r="V230" s="14">
        <f t="shared" si="20"/>
        <v>0.4453125</v>
      </c>
      <c r="W230" s="10">
        <f t="shared" si="25"/>
        <v>0</v>
      </c>
      <c r="X230" s="11">
        <f t="shared" si="25"/>
        <v>0</v>
      </c>
      <c r="Y230" s="12">
        <f t="shared" si="25"/>
        <v>0</v>
      </c>
      <c r="Z230" s="13">
        <f t="shared" si="25"/>
        <v>0</v>
      </c>
    </row>
    <row r="231" spans="2:26" x14ac:dyDescent="0.25">
      <c r="B231" s="4">
        <v>229</v>
      </c>
      <c r="C231" s="4">
        <f t="array" ref="C231">INDEX(Sheet1!$B$2:$F$22000,SMALL(IF(Sheet1!$A$2:$A$22000=$A$1,ROW(Sheet1!$B$2:$B$22000)),ROW($A229:$F229))-1,2)</f>
        <v>0</v>
      </c>
      <c r="D231" s="4">
        <f t="array" ref="D231">INDEX(Sheet1!$B$2:$F$22000,SMALL(IF(Sheet1!$A$2:$A$22000=$A$1,ROW(Sheet1!$B$2:$B$22000)),ROW($A229:$F229))-1,3)</f>
        <v>0</v>
      </c>
      <c r="E231" s="4">
        <f t="array" ref="E231">INDEX(Sheet1!$B$2:$F$22000,SMALL(IF(Sheet1!$A$2:$A$22000=$A$1,ROW(Sheet1!$B$2:$B$22000)),ROW($A229:$F229))-1,4)</f>
        <v>0</v>
      </c>
      <c r="F231" s="4">
        <f t="array" ref="F231">INDEX(Sheet1!$B$2:$F$22000,SMALL(IF(Sheet1!$A$2:$A$22000=$A$1,ROW(Sheet1!$B$2:$B$22000)),ROW($A229:$F229))-1,5)</f>
        <v>0</v>
      </c>
      <c r="M231" s="9">
        <v>229</v>
      </c>
      <c r="N231" s="10">
        <f t="shared" si="21"/>
        <v>0</v>
      </c>
      <c r="O231" s="11">
        <f t="shared" si="22"/>
        <v>0</v>
      </c>
      <c r="P231" s="12">
        <f t="shared" si="23"/>
        <v>0</v>
      </c>
      <c r="Q231" s="13">
        <f t="shared" si="24"/>
        <v>0</v>
      </c>
      <c r="V231" s="14">
        <f t="shared" si="20"/>
        <v>0.447265625</v>
      </c>
      <c r="W231" s="10">
        <f t="shared" si="25"/>
        <v>0</v>
      </c>
      <c r="X231" s="11">
        <f t="shared" si="25"/>
        <v>0</v>
      </c>
      <c r="Y231" s="12">
        <f t="shared" si="25"/>
        <v>0</v>
      </c>
      <c r="Z231" s="13">
        <f t="shared" si="25"/>
        <v>0</v>
      </c>
    </row>
    <row r="232" spans="2:26" x14ac:dyDescent="0.25">
      <c r="B232" s="4">
        <v>230</v>
      </c>
      <c r="C232" s="4">
        <f t="array" ref="C232">INDEX(Sheet1!$B$2:$F$22000,SMALL(IF(Sheet1!$A$2:$A$22000=$A$1,ROW(Sheet1!$B$2:$B$22000)),ROW($A230:$F230))-1,2)</f>
        <v>0</v>
      </c>
      <c r="D232" s="4">
        <f t="array" ref="D232">INDEX(Sheet1!$B$2:$F$22000,SMALL(IF(Sheet1!$A$2:$A$22000=$A$1,ROW(Sheet1!$B$2:$B$22000)),ROW($A230:$F230))-1,3)</f>
        <v>0</v>
      </c>
      <c r="E232" s="4">
        <f t="array" ref="E232">INDEX(Sheet1!$B$2:$F$22000,SMALL(IF(Sheet1!$A$2:$A$22000=$A$1,ROW(Sheet1!$B$2:$B$22000)),ROW($A230:$F230))-1,4)</f>
        <v>0</v>
      </c>
      <c r="F232" s="4">
        <f t="array" ref="F232">INDEX(Sheet1!$B$2:$F$22000,SMALL(IF(Sheet1!$A$2:$A$22000=$A$1,ROW(Sheet1!$B$2:$B$22000)),ROW($A230:$F230))-1,5)</f>
        <v>0</v>
      </c>
      <c r="M232" s="9">
        <v>230</v>
      </c>
      <c r="N232" s="10">
        <f t="shared" si="21"/>
        <v>0</v>
      </c>
      <c r="O232" s="11">
        <f t="shared" si="22"/>
        <v>0</v>
      </c>
      <c r="P232" s="12">
        <f t="shared" si="23"/>
        <v>0</v>
      </c>
      <c r="Q232" s="13">
        <f t="shared" si="24"/>
        <v>0</v>
      </c>
      <c r="V232" s="14">
        <f t="shared" si="20"/>
        <v>0.44921875</v>
      </c>
      <c r="W232" s="10">
        <f t="shared" si="25"/>
        <v>0</v>
      </c>
      <c r="X232" s="11">
        <f t="shared" si="25"/>
        <v>0</v>
      </c>
      <c r="Y232" s="12">
        <f t="shared" si="25"/>
        <v>0</v>
      </c>
      <c r="Z232" s="13">
        <f t="shared" si="25"/>
        <v>0</v>
      </c>
    </row>
    <row r="233" spans="2:26" x14ac:dyDescent="0.25">
      <c r="B233" s="4">
        <v>231</v>
      </c>
      <c r="C233" s="4">
        <f t="array" ref="C233">INDEX(Sheet1!$B$2:$F$22000,SMALL(IF(Sheet1!$A$2:$A$22000=$A$1,ROW(Sheet1!$B$2:$B$22000)),ROW($A231:$F231))-1,2)</f>
        <v>0</v>
      </c>
      <c r="D233" s="4">
        <f t="array" ref="D233">INDEX(Sheet1!$B$2:$F$22000,SMALL(IF(Sheet1!$A$2:$A$22000=$A$1,ROW(Sheet1!$B$2:$B$22000)),ROW($A231:$F231))-1,3)</f>
        <v>0</v>
      </c>
      <c r="E233" s="4">
        <f t="array" ref="E233">INDEX(Sheet1!$B$2:$F$22000,SMALL(IF(Sheet1!$A$2:$A$22000=$A$1,ROW(Sheet1!$B$2:$B$22000)),ROW($A231:$F231))-1,4)</f>
        <v>0</v>
      </c>
      <c r="F233" s="4">
        <f t="array" ref="F233">INDEX(Sheet1!$B$2:$F$22000,SMALL(IF(Sheet1!$A$2:$A$22000=$A$1,ROW(Sheet1!$B$2:$B$22000)),ROW($A231:$F231))-1,5)</f>
        <v>0</v>
      </c>
      <c r="M233" s="9">
        <v>231</v>
      </c>
      <c r="N233" s="10">
        <f t="shared" si="21"/>
        <v>0</v>
      </c>
      <c r="O233" s="11">
        <f t="shared" si="22"/>
        <v>0</v>
      </c>
      <c r="P233" s="12">
        <f t="shared" si="23"/>
        <v>0</v>
      </c>
      <c r="Q233" s="13">
        <f t="shared" si="24"/>
        <v>0</v>
      </c>
      <c r="V233" s="14">
        <f t="shared" si="20"/>
        <v>0.451171875</v>
      </c>
      <c r="W233" s="10">
        <f t="shared" si="25"/>
        <v>0</v>
      </c>
      <c r="X233" s="11">
        <f t="shared" si="25"/>
        <v>0</v>
      </c>
      <c r="Y233" s="12">
        <f t="shared" si="25"/>
        <v>0</v>
      </c>
      <c r="Z233" s="13">
        <f t="shared" si="25"/>
        <v>0</v>
      </c>
    </row>
    <row r="234" spans="2:26" x14ac:dyDescent="0.25">
      <c r="B234" s="4">
        <v>232</v>
      </c>
      <c r="C234" s="4">
        <f t="array" ref="C234">INDEX(Sheet1!$B$2:$F$22000,SMALL(IF(Sheet1!$A$2:$A$22000=$A$1,ROW(Sheet1!$B$2:$B$22000)),ROW($A232:$F232))-1,2)</f>
        <v>0</v>
      </c>
      <c r="D234" s="4">
        <f t="array" ref="D234">INDEX(Sheet1!$B$2:$F$22000,SMALL(IF(Sheet1!$A$2:$A$22000=$A$1,ROW(Sheet1!$B$2:$B$22000)),ROW($A232:$F232))-1,3)</f>
        <v>0</v>
      </c>
      <c r="E234" s="4">
        <f t="array" ref="E234">INDEX(Sheet1!$B$2:$F$22000,SMALL(IF(Sheet1!$A$2:$A$22000=$A$1,ROW(Sheet1!$B$2:$B$22000)),ROW($A232:$F232))-1,4)</f>
        <v>0</v>
      </c>
      <c r="F234" s="4">
        <f t="array" ref="F234">INDEX(Sheet1!$B$2:$F$22000,SMALL(IF(Sheet1!$A$2:$A$22000=$A$1,ROW(Sheet1!$B$2:$B$22000)),ROW($A232:$F232))-1,5)</f>
        <v>0</v>
      </c>
      <c r="M234" s="9">
        <v>232</v>
      </c>
      <c r="N234" s="10">
        <f t="shared" si="21"/>
        <v>0</v>
      </c>
      <c r="O234" s="11">
        <f t="shared" si="22"/>
        <v>0</v>
      </c>
      <c r="P234" s="12">
        <f t="shared" si="23"/>
        <v>0</v>
      </c>
      <c r="Q234" s="13">
        <f t="shared" si="24"/>
        <v>0</v>
      </c>
      <c r="V234" s="14">
        <f t="shared" si="20"/>
        <v>0.453125</v>
      </c>
      <c r="W234" s="10">
        <f t="shared" si="25"/>
        <v>0</v>
      </c>
      <c r="X234" s="11">
        <f t="shared" si="25"/>
        <v>0</v>
      </c>
      <c r="Y234" s="12">
        <f t="shared" si="25"/>
        <v>0</v>
      </c>
      <c r="Z234" s="13">
        <f t="shared" si="25"/>
        <v>0</v>
      </c>
    </row>
    <row r="235" spans="2:26" x14ac:dyDescent="0.25">
      <c r="B235" s="4">
        <v>233</v>
      </c>
      <c r="C235" s="4">
        <f t="array" ref="C235">INDEX(Sheet1!$B$2:$F$22000,SMALL(IF(Sheet1!$A$2:$A$22000=$A$1,ROW(Sheet1!$B$2:$B$22000)),ROW($A233:$F233))-1,2)</f>
        <v>0</v>
      </c>
      <c r="D235" s="4">
        <f t="array" ref="D235">INDEX(Sheet1!$B$2:$F$22000,SMALL(IF(Sheet1!$A$2:$A$22000=$A$1,ROW(Sheet1!$B$2:$B$22000)),ROW($A233:$F233))-1,3)</f>
        <v>0</v>
      </c>
      <c r="E235" s="4">
        <f t="array" ref="E235">INDEX(Sheet1!$B$2:$F$22000,SMALL(IF(Sheet1!$A$2:$A$22000=$A$1,ROW(Sheet1!$B$2:$B$22000)),ROW($A233:$F233))-1,4)</f>
        <v>0</v>
      </c>
      <c r="F235" s="4">
        <f t="array" ref="F235">INDEX(Sheet1!$B$2:$F$22000,SMALL(IF(Sheet1!$A$2:$A$22000=$A$1,ROW(Sheet1!$B$2:$B$22000)),ROW($A233:$F233))-1,5)</f>
        <v>0</v>
      </c>
      <c r="M235" s="9">
        <v>233</v>
      </c>
      <c r="N235" s="10">
        <f t="shared" si="21"/>
        <v>0</v>
      </c>
      <c r="O235" s="11">
        <f t="shared" si="22"/>
        <v>0</v>
      </c>
      <c r="P235" s="12">
        <f t="shared" si="23"/>
        <v>0</v>
      </c>
      <c r="Q235" s="13">
        <f t="shared" si="24"/>
        <v>0</v>
      </c>
      <c r="V235" s="14">
        <f t="shared" si="20"/>
        <v>0.455078125</v>
      </c>
      <c r="W235" s="10">
        <f t="shared" si="25"/>
        <v>0</v>
      </c>
      <c r="X235" s="11">
        <f t="shared" si="25"/>
        <v>0</v>
      </c>
      <c r="Y235" s="12">
        <f t="shared" si="25"/>
        <v>0</v>
      </c>
      <c r="Z235" s="13">
        <f t="shared" si="25"/>
        <v>0</v>
      </c>
    </row>
    <row r="236" spans="2:26" x14ac:dyDescent="0.25">
      <c r="B236" s="4">
        <v>234</v>
      </c>
      <c r="C236" s="4">
        <f t="array" ref="C236">INDEX(Sheet1!$B$2:$F$22000,SMALL(IF(Sheet1!$A$2:$A$22000=$A$1,ROW(Sheet1!$B$2:$B$22000)),ROW($A234:$F234))-1,2)</f>
        <v>0</v>
      </c>
      <c r="D236" s="4">
        <f t="array" ref="D236">INDEX(Sheet1!$B$2:$F$22000,SMALL(IF(Sheet1!$A$2:$A$22000=$A$1,ROW(Sheet1!$B$2:$B$22000)),ROW($A234:$F234))-1,3)</f>
        <v>0</v>
      </c>
      <c r="E236" s="4">
        <f t="array" ref="E236">INDEX(Sheet1!$B$2:$F$22000,SMALL(IF(Sheet1!$A$2:$A$22000=$A$1,ROW(Sheet1!$B$2:$B$22000)),ROW($A234:$F234))-1,4)</f>
        <v>0</v>
      </c>
      <c r="F236" s="4">
        <f t="array" ref="F236">INDEX(Sheet1!$B$2:$F$22000,SMALL(IF(Sheet1!$A$2:$A$22000=$A$1,ROW(Sheet1!$B$2:$B$22000)),ROW($A234:$F234))-1,5)</f>
        <v>0</v>
      </c>
      <c r="M236" s="9">
        <v>234</v>
      </c>
      <c r="N236" s="10">
        <f t="shared" si="21"/>
        <v>0</v>
      </c>
      <c r="O236" s="11">
        <f t="shared" si="22"/>
        <v>0</v>
      </c>
      <c r="P236" s="12">
        <f t="shared" si="23"/>
        <v>0</v>
      </c>
      <c r="Q236" s="13">
        <f t="shared" si="24"/>
        <v>0</v>
      </c>
      <c r="V236" s="14">
        <f t="shared" si="20"/>
        <v>0.45703125</v>
      </c>
      <c r="W236" s="10">
        <f t="shared" si="25"/>
        <v>0</v>
      </c>
      <c r="X236" s="11">
        <f t="shared" si="25"/>
        <v>0</v>
      </c>
      <c r="Y236" s="12">
        <f t="shared" si="25"/>
        <v>0</v>
      </c>
      <c r="Z236" s="13">
        <f t="shared" si="25"/>
        <v>0</v>
      </c>
    </row>
    <row r="237" spans="2:26" x14ac:dyDescent="0.25">
      <c r="B237" s="4">
        <v>235</v>
      </c>
      <c r="C237" s="4">
        <f t="array" ref="C237">INDEX(Sheet1!$B$2:$F$22000,SMALL(IF(Sheet1!$A$2:$A$22000=$A$1,ROW(Sheet1!$B$2:$B$22000)),ROW($A235:$F235))-1,2)</f>
        <v>0</v>
      </c>
      <c r="D237" s="4">
        <f t="array" ref="D237">INDEX(Sheet1!$B$2:$F$22000,SMALL(IF(Sheet1!$A$2:$A$22000=$A$1,ROW(Sheet1!$B$2:$B$22000)),ROW($A235:$F235))-1,3)</f>
        <v>0</v>
      </c>
      <c r="E237" s="4">
        <f t="array" ref="E237">INDEX(Sheet1!$B$2:$F$22000,SMALL(IF(Sheet1!$A$2:$A$22000=$A$1,ROW(Sheet1!$B$2:$B$22000)),ROW($A235:$F235))-1,4)</f>
        <v>0</v>
      </c>
      <c r="F237" s="4">
        <f t="array" ref="F237">INDEX(Sheet1!$B$2:$F$22000,SMALL(IF(Sheet1!$A$2:$A$22000=$A$1,ROW(Sheet1!$B$2:$B$22000)),ROW($A235:$F235))-1,5)</f>
        <v>0</v>
      </c>
      <c r="M237" s="9">
        <v>235</v>
      </c>
      <c r="N237" s="10">
        <f t="shared" si="21"/>
        <v>0</v>
      </c>
      <c r="O237" s="11">
        <f t="shared" si="22"/>
        <v>0</v>
      </c>
      <c r="P237" s="12">
        <f t="shared" si="23"/>
        <v>0</v>
      </c>
      <c r="Q237" s="13">
        <f t="shared" si="24"/>
        <v>0</v>
      </c>
      <c r="V237" s="14">
        <f t="shared" si="20"/>
        <v>0.458984375</v>
      </c>
      <c r="W237" s="10">
        <f t="shared" si="25"/>
        <v>0</v>
      </c>
      <c r="X237" s="11">
        <f t="shared" si="25"/>
        <v>0</v>
      </c>
      <c r="Y237" s="12">
        <f t="shared" si="25"/>
        <v>0</v>
      </c>
      <c r="Z237" s="13">
        <f t="shared" si="25"/>
        <v>0</v>
      </c>
    </row>
    <row r="238" spans="2:26" x14ac:dyDescent="0.25">
      <c r="B238" s="4">
        <v>236</v>
      </c>
      <c r="C238" s="4">
        <f t="array" ref="C238">INDEX(Sheet1!$B$2:$F$22000,SMALL(IF(Sheet1!$A$2:$A$22000=$A$1,ROW(Sheet1!$B$2:$B$22000)),ROW($A236:$F236))-1,2)</f>
        <v>0</v>
      </c>
      <c r="D238" s="4">
        <f t="array" ref="D238">INDEX(Sheet1!$B$2:$F$22000,SMALL(IF(Sheet1!$A$2:$A$22000=$A$1,ROW(Sheet1!$B$2:$B$22000)),ROW($A236:$F236))-1,3)</f>
        <v>0</v>
      </c>
      <c r="E238" s="4">
        <f t="array" ref="E238">INDEX(Sheet1!$B$2:$F$22000,SMALL(IF(Sheet1!$A$2:$A$22000=$A$1,ROW(Sheet1!$B$2:$B$22000)),ROW($A236:$F236))-1,4)</f>
        <v>0</v>
      </c>
      <c r="F238" s="4">
        <f t="array" ref="F238">INDEX(Sheet1!$B$2:$F$22000,SMALL(IF(Sheet1!$A$2:$A$22000=$A$1,ROW(Sheet1!$B$2:$B$22000)),ROW($A236:$F236))-1,5)</f>
        <v>0</v>
      </c>
      <c r="M238" s="9">
        <v>236</v>
      </c>
      <c r="N238" s="10">
        <f t="shared" si="21"/>
        <v>0</v>
      </c>
      <c r="O238" s="11">
        <f t="shared" si="22"/>
        <v>0</v>
      </c>
      <c r="P238" s="12">
        <f t="shared" si="23"/>
        <v>0</v>
      </c>
      <c r="Q238" s="13">
        <f t="shared" si="24"/>
        <v>0</v>
      </c>
      <c r="V238" s="14">
        <f t="shared" si="20"/>
        <v>0.4609375</v>
      </c>
      <c r="W238" s="10">
        <f t="shared" si="25"/>
        <v>0</v>
      </c>
      <c r="X238" s="11">
        <f t="shared" si="25"/>
        <v>0</v>
      </c>
      <c r="Y238" s="12">
        <f t="shared" si="25"/>
        <v>0</v>
      </c>
      <c r="Z238" s="13">
        <f t="shared" si="25"/>
        <v>0</v>
      </c>
    </row>
    <row r="239" spans="2:26" x14ac:dyDescent="0.25">
      <c r="B239" s="4">
        <v>237</v>
      </c>
      <c r="C239" s="4">
        <f t="array" ref="C239">INDEX(Sheet1!$B$2:$F$22000,SMALL(IF(Sheet1!$A$2:$A$22000=$A$1,ROW(Sheet1!$B$2:$B$22000)),ROW($A237:$F237))-1,2)</f>
        <v>0</v>
      </c>
      <c r="D239" s="4">
        <f t="array" ref="D239">INDEX(Sheet1!$B$2:$F$22000,SMALL(IF(Sheet1!$A$2:$A$22000=$A$1,ROW(Sheet1!$B$2:$B$22000)),ROW($A237:$F237))-1,3)</f>
        <v>0</v>
      </c>
      <c r="E239" s="4">
        <f t="array" ref="E239">INDEX(Sheet1!$B$2:$F$22000,SMALL(IF(Sheet1!$A$2:$A$22000=$A$1,ROW(Sheet1!$B$2:$B$22000)),ROW($A237:$F237))-1,4)</f>
        <v>0</v>
      </c>
      <c r="F239" s="4">
        <f t="array" ref="F239">INDEX(Sheet1!$B$2:$F$22000,SMALL(IF(Sheet1!$A$2:$A$22000=$A$1,ROW(Sheet1!$B$2:$B$22000)),ROW($A237:$F237))-1,5)</f>
        <v>0</v>
      </c>
      <c r="M239" s="9">
        <v>237</v>
      </c>
      <c r="N239" s="10">
        <f t="shared" si="21"/>
        <v>0</v>
      </c>
      <c r="O239" s="11">
        <f t="shared" si="22"/>
        <v>0</v>
      </c>
      <c r="P239" s="12">
        <f t="shared" si="23"/>
        <v>0</v>
      </c>
      <c r="Q239" s="13">
        <f t="shared" si="24"/>
        <v>0</v>
      </c>
      <c r="V239" s="14">
        <f t="shared" si="20"/>
        <v>0.462890625</v>
      </c>
      <c r="W239" s="10">
        <f t="shared" si="25"/>
        <v>0</v>
      </c>
      <c r="X239" s="11">
        <f t="shared" si="25"/>
        <v>0</v>
      </c>
      <c r="Y239" s="12">
        <f t="shared" si="25"/>
        <v>0</v>
      </c>
      <c r="Z239" s="13">
        <f t="shared" si="25"/>
        <v>0</v>
      </c>
    </row>
    <row r="240" spans="2:26" x14ac:dyDescent="0.25">
      <c r="B240" s="4">
        <v>238</v>
      </c>
      <c r="C240" s="4">
        <f t="array" ref="C240">INDEX(Sheet1!$B$2:$F$22000,SMALL(IF(Sheet1!$A$2:$A$22000=$A$1,ROW(Sheet1!$B$2:$B$22000)),ROW($A238:$F238))-1,2)</f>
        <v>0</v>
      </c>
      <c r="D240" s="4">
        <f t="array" ref="D240">INDEX(Sheet1!$B$2:$F$22000,SMALL(IF(Sheet1!$A$2:$A$22000=$A$1,ROW(Sheet1!$B$2:$B$22000)),ROW($A238:$F238))-1,3)</f>
        <v>0</v>
      </c>
      <c r="E240" s="4">
        <f t="array" ref="E240">INDEX(Sheet1!$B$2:$F$22000,SMALL(IF(Sheet1!$A$2:$A$22000=$A$1,ROW(Sheet1!$B$2:$B$22000)),ROW($A238:$F238))-1,4)</f>
        <v>0</v>
      </c>
      <c r="F240" s="4">
        <f t="array" ref="F240">INDEX(Sheet1!$B$2:$F$22000,SMALL(IF(Sheet1!$A$2:$A$22000=$A$1,ROW(Sheet1!$B$2:$B$22000)),ROW($A238:$F238))-1,5)</f>
        <v>0</v>
      </c>
      <c r="M240" s="9">
        <v>238</v>
      </c>
      <c r="N240" s="10">
        <f t="shared" si="21"/>
        <v>0</v>
      </c>
      <c r="O240" s="11">
        <f t="shared" si="22"/>
        <v>0</v>
      </c>
      <c r="P240" s="12">
        <f t="shared" si="23"/>
        <v>0</v>
      </c>
      <c r="Q240" s="13">
        <f t="shared" si="24"/>
        <v>0</v>
      </c>
      <c r="V240" s="14">
        <f t="shared" si="20"/>
        <v>0.46484375</v>
      </c>
      <c r="W240" s="10">
        <f t="shared" si="25"/>
        <v>0</v>
      </c>
      <c r="X240" s="11">
        <f t="shared" si="25"/>
        <v>0</v>
      </c>
      <c r="Y240" s="12">
        <f t="shared" si="25"/>
        <v>0</v>
      </c>
      <c r="Z240" s="13">
        <f t="shared" si="25"/>
        <v>0</v>
      </c>
    </row>
    <row r="241" spans="2:26" x14ac:dyDescent="0.25">
      <c r="B241" s="4">
        <v>239</v>
      </c>
      <c r="C241" s="4">
        <f t="array" ref="C241">INDEX(Sheet1!$B$2:$F$22000,SMALL(IF(Sheet1!$A$2:$A$22000=$A$1,ROW(Sheet1!$B$2:$B$22000)),ROW($A239:$F239))-1,2)</f>
        <v>0</v>
      </c>
      <c r="D241" s="4">
        <f t="array" ref="D241">INDEX(Sheet1!$B$2:$F$22000,SMALL(IF(Sheet1!$A$2:$A$22000=$A$1,ROW(Sheet1!$B$2:$B$22000)),ROW($A239:$F239))-1,3)</f>
        <v>0</v>
      </c>
      <c r="E241" s="4">
        <f t="array" ref="E241">INDEX(Sheet1!$B$2:$F$22000,SMALL(IF(Sheet1!$A$2:$A$22000=$A$1,ROW(Sheet1!$B$2:$B$22000)),ROW($A239:$F239))-1,4)</f>
        <v>0</v>
      </c>
      <c r="F241" s="4">
        <f t="array" ref="F241">INDEX(Sheet1!$B$2:$F$22000,SMALL(IF(Sheet1!$A$2:$A$22000=$A$1,ROW(Sheet1!$B$2:$B$22000)),ROW($A239:$F239))-1,5)</f>
        <v>0</v>
      </c>
      <c r="M241" s="9">
        <v>239</v>
      </c>
      <c r="N241" s="10">
        <f t="shared" si="21"/>
        <v>0</v>
      </c>
      <c r="O241" s="11">
        <f t="shared" si="22"/>
        <v>0</v>
      </c>
      <c r="P241" s="12">
        <f t="shared" si="23"/>
        <v>0</v>
      </c>
      <c r="Q241" s="13">
        <f t="shared" si="24"/>
        <v>0</v>
      </c>
      <c r="V241" s="14">
        <f t="shared" si="20"/>
        <v>0.466796875</v>
      </c>
      <c r="W241" s="10">
        <f t="shared" si="25"/>
        <v>0</v>
      </c>
      <c r="X241" s="11">
        <f t="shared" si="25"/>
        <v>0</v>
      </c>
      <c r="Y241" s="12">
        <f t="shared" si="25"/>
        <v>0</v>
      </c>
      <c r="Z241" s="13">
        <f t="shared" si="25"/>
        <v>0</v>
      </c>
    </row>
    <row r="242" spans="2:26" x14ac:dyDescent="0.25">
      <c r="B242" s="4">
        <v>240</v>
      </c>
      <c r="C242" s="4">
        <f t="array" ref="C242">INDEX(Sheet1!$B$2:$F$22000,SMALL(IF(Sheet1!$A$2:$A$22000=$A$1,ROW(Sheet1!$B$2:$B$22000)),ROW($A240:$F240))-1,2)</f>
        <v>0</v>
      </c>
      <c r="D242" s="4">
        <f t="array" ref="D242">INDEX(Sheet1!$B$2:$F$22000,SMALL(IF(Sheet1!$A$2:$A$22000=$A$1,ROW(Sheet1!$B$2:$B$22000)),ROW($A240:$F240))-1,3)</f>
        <v>0</v>
      </c>
      <c r="E242" s="4">
        <f t="array" ref="E242">INDEX(Sheet1!$B$2:$F$22000,SMALL(IF(Sheet1!$A$2:$A$22000=$A$1,ROW(Sheet1!$B$2:$B$22000)),ROW($A240:$F240))-1,4)</f>
        <v>0</v>
      </c>
      <c r="F242" s="4">
        <f t="array" ref="F242">INDEX(Sheet1!$B$2:$F$22000,SMALL(IF(Sheet1!$A$2:$A$22000=$A$1,ROW(Sheet1!$B$2:$B$22000)),ROW($A240:$F240))-1,5)</f>
        <v>0</v>
      </c>
      <c r="M242" s="9">
        <v>240</v>
      </c>
      <c r="N242" s="10">
        <f t="shared" si="21"/>
        <v>0</v>
      </c>
      <c r="O242" s="11">
        <f t="shared" si="22"/>
        <v>0</v>
      </c>
      <c r="P242" s="12">
        <f t="shared" si="23"/>
        <v>0</v>
      </c>
      <c r="Q242" s="13">
        <f t="shared" si="24"/>
        <v>0</v>
      </c>
      <c r="V242" s="14">
        <f t="shared" si="20"/>
        <v>0.46875</v>
      </c>
      <c r="W242" s="10">
        <f t="shared" si="25"/>
        <v>0</v>
      </c>
      <c r="X242" s="11">
        <f t="shared" si="25"/>
        <v>0</v>
      </c>
      <c r="Y242" s="12">
        <f t="shared" si="25"/>
        <v>0</v>
      </c>
      <c r="Z242" s="13">
        <f t="shared" si="25"/>
        <v>0</v>
      </c>
    </row>
    <row r="243" spans="2:26" x14ac:dyDescent="0.25">
      <c r="B243" s="4">
        <v>241</v>
      </c>
      <c r="C243" s="4">
        <f t="array" ref="C243">INDEX(Sheet1!$B$2:$F$22000,SMALL(IF(Sheet1!$A$2:$A$22000=$A$1,ROW(Sheet1!$B$2:$B$22000)),ROW($A241:$F241))-1,2)</f>
        <v>0</v>
      </c>
      <c r="D243" s="4">
        <f t="array" ref="D243">INDEX(Sheet1!$B$2:$F$22000,SMALL(IF(Sheet1!$A$2:$A$22000=$A$1,ROW(Sheet1!$B$2:$B$22000)),ROW($A241:$F241))-1,3)</f>
        <v>0</v>
      </c>
      <c r="E243" s="4">
        <f t="array" ref="E243">INDEX(Sheet1!$B$2:$F$22000,SMALL(IF(Sheet1!$A$2:$A$22000=$A$1,ROW(Sheet1!$B$2:$B$22000)),ROW($A241:$F241))-1,4)</f>
        <v>0</v>
      </c>
      <c r="F243" s="4">
        <f t="array" ref="F243">INDEX(Sheet1!$B$2:$F$22000,SMALL(IF(Sheet1!$A$2:$A$22000=$A$1,ROW(Sheet1!$B$2:$B$22000)),ROW($A241:$F241))-1,5)</f>
        <v>0</v>
      </c>
      <c r="M243" s="9">
        <v>241</v>
      </c>
      <c r="N243" s="10">
        <f t="shared" si="21"/>
        <v>0</v>
      </c>
      <c r="O243" s="11">
        <f t="shared" si="22"/>
        <v>0</v>
      </c>
      <c r="P243" s="12">
        <f t="shared" si="23"/>
        <v>0</v>
      </c>
      <c r="Q243" s="13">
        <f t="shared" si="24"/>
        <v>0</v>
      </c>
      <c r="V243" s="14">
        <f t="shared" si="20"/>
        <v>0.470703125</v>
      </c>
      <c r="W243" s="10">
        <f t="shared" si="25"/>
        <v>0</v>
      </c>
      <c r="X243" s="11">
        <f t="shared" si="25"/>
        <v>0</v>
      </c>
      <c r="Y243" s="12">
        <f t="shared" si="25"/>
        <v>0</v>
      </c>
      <c r="Z243" s="13">
        <f t="shared" si="25"/>
        <v>0</v>
      </c>
    </row>
    <row r="244" spans="2:26" x14ac:dyDescent="0.25">
      <c r="B244" s="4">
        <v>242</v>
      </c>
      <c r="C244" s="4">
        <f t="array" ref="C244">INDEX(Sheet1!$B$2:$F$22000,SMALL(IF(Sheet1!$A$2:$A$22000=$A$1,ROW(Sheet1!$B$2:$B$22000)),ROW($A242:$F242))-1,2)</f>
        <v>0</v>
      </c>
      <c r="D244" s="4">
        <f t="array" ref="D244">INDEX(Sheet1!$B$2:$F$22000,SMALL(IF(Sheet1!$A$2:$A$22000=$A$1,ROW(Sheet1!$B$2:$B$22000)),ROW($A242:$F242))-1,3)</f>
        <v>0</v>
      </c>
      <c r="E244" s="4">
        <f t="array" ref="E244">INDEX(Sheet1!$B$2:$F$22000,SMALL(IF(Sheet1!$A$2:$A$22000=$A$1,ROW(Sheet1!$B$2:$B$22000)),ROW($A242:$F242))-1,4)</f>
        <v>0</v>
      </c>
      <c r="F244" s="4">
        <f t="array" ref="F244">INDEX(Sheet1!$B$2:$F$22000,SMALL(IF(Sheet1!$A$2:$A$22000=$A$1,ROW(Sheet1!$B$2:$B$22000)),ROW($A242:$F242))-1,5)</f>
        <v>0</v>
      </c>
      <c r="M244" s="9">
        <v>242</v>
      </c>
      <c r="N244" s="10">
        <f t="shared" si="21"/>
        <v>0</v>
      </c>
      <c r="O244" s="11">
        <f t="shared" si="22"/>
        <v>0</v>
      </c>
      <c r="P244" s="12">
        <f t="shared" si="23"/>
        <v>0</v>
      </c>
      <c r="Q244" s="13">
        <f t="shared" si="24"/>
        <v>0</v>
      </c>
      <c r="V244" s="14">
        <f t="shared" si="20"/>
        <v>0.47265625</v>
      </c>
      <c r="W244" s="10">
        <f t="shared" si="25"/>
        <v>0</v>
      </c>
      <c r="X244" s="11">
        <f t="shared" si="25"/>
        <v>0</v>
      </c>
      <c r="Y244" s="12">
        <f t="shared" si="25"/>
        <v>0</v>
      </c>
      <c r="Z244" s="13">
        <f t="shared" si="25"/>
        <v>0</v>
      </c>
    </row>
    <row r="245" spans="2:26" x14ac:dyDescent="0.25">
      <c r="B245" s="4">
        <v>243</v>
      </c>
      <c r="C245" s="4">
        <f t="array" ref="C245">INDEX(Sheet1!$B$2:$F$22000,SMALL(IF(Sheet1!$A$2:$A$22000=$A$1,ROW(Sheet1!$B$2:$B$22000)),ROW($A243:$F243))-1,2)</f>
        <v>0</v>
      </c>
      <c r="D245" s="4">
        <f t="array" ref="D245">INDEX(Sheet1!$B$2:$F$22000,SMALL(IF(Sheet1!$A$2:$A$22000=$A$1,ROW(Sheet1!$B$2:$B$22000)),ROW($A243:$F243))-1,3)</f>
        <v>0</v>
      </c>
      <c r="E245" s="4">
        <f t="array" ref="E245">INDEX(Sheet1!$B$2:$F$22000,SMALL(IF(Sheet1!$A$2:$A$22000=$A$1,ROW(Sheet1!$B$2:$B$22000)),ROW($A243:$F243))-1,4)</f>
        <v>0</v>
      </c>
      <c r="F245" s="4">
        <f t="array" ref="F245">INDEX(Sheet1!$B$2:$F$22000,SMALL(IF(Sheet1!$A$2:$A$22000=$A$1,ROW(Sheet1!$B$2:$B$22000)),ROW($A243:$F243))-1,5)</f>
        <v>0</v>
      </c>
      <c r="M245" s="9">
        <v>243</v>
      </c>
      <c r="N245" s="10">
        <f t="shared" si="21"/>
        <v>0</v>
      </c>
      <c r="O245" s="11">
        <f t="shared" si="22"/>
        <v>0</v>
      </c>
      <c r="P245" s="12">
        <f t="shared" si="23"/>
        <v>0</v>
      </c>
      <c r="Q245" s="13">
        <f t="shared" si="24"/>
        <v>0</v>
      </c>
      <c r="V245" s="14">
        <f t="shared" si="20"/>
        <v>0.474609375</v>
      </c>
      <c r="W245" s="10">
        <f t="shared" si="25"/>
        <v>0</v>
      </c>
      <c r="X245" s="11">
        <f t="shared" si="25"/>
        <v>0</v>
      </c>
      <c r="Y245" s="12">
        <f t="shared" si="25"/>
        <v>0</v>
      </c>
      <c r="Z245" s="13">
        <f t="shared" si="25"/>
        <v>0</v>
      </c>
    </row>
    <row r="246" spans="2:26" x14ac:dyDescent="0.25">
      <c r="B246" s="4">
        <v>244</v>
      </c>
      <c r="C246" s="4">
        <f t="array" ref="C246">INDEX(Sheet1!$B$2:$F$22000,SMALL(IF(Sheet1!$A$2:$A$22000=$A$1,ROW(Sheet1!$B$2:$B$22000)),ROW($A244:$F244))-1,2)</f>
        <v>0</v>
      </c>
      <c r="D246" s="4">
        <f t="array" ref="D246">INDEX(Sheet1!$B$2:$F$22000,SMALL(IF(Sheet1!$A$2:$A$22000=$A$1,ROW(Sheet1!$B$2:$B$22000)),ROW($A244:$F244))-1,3)</f>
        <v>0</v>
      </c>
      <c r="E246" s="4">
        <f t="array" ref="E246">INDEX(Sheet1!$B$2:$F$22000,SMALL(IF(Sheet1!$A$2:$A$22000=$A$1,ROW(Sheet1!$B$2:$B$22000)),ROW($A244:$F244))-1,4)</f>
        <v>0</v>
      </c>
      <c r="F246" s="4">
        <f t="array" ref="F246">INDEX(Sheet1!$B$2:$F$22000,SMALL(IF(Sheet1!$A$2:$A$22000=$A$1,ROW(Sheet1!$B$2:$B$22000)),ROW($A244:$F244))-1,5)</f>
        <v>0</v>
      </c>
      <c r="M246" s="9">
        <v>244</v>
      </c>
      <c r="N246" s="10">
        <f t="shared" si="21"/>
        <v>0</v>
      </c>
      <c r="O246" s="11">
        <f t="shared" si="22"/>
        <v>0</v>
      </c>
      <c r="P246" s="12">
        <f t="shared" si="23"/>
        <v>0</v>
      </c>
      <c r="Q246" s="13">
        <f t="shared" si="24"/>
        <v>0</v>
      </c>
      <c r="V246" s="14">
        <f t="shared" si="20"/>
        <v>0.4765625</v>
      </c>
      <c r="W246" s="10">
        <f t="shared" si="25"/>
        <v>0</v>
      </c>
      <c r="X246" s="11">
        <f t="shared" si="25"/>
        <v>0</v>
      </c>
      <c r="Y246" s="12">
        <f t="shared" si="25"/>
        <v>0</v>
      </c>
      <c r="Z246" s="13">
        <f t="shared" si="25"/>
        <v>0</v>
      </c>
    </row>
    <row r="247" spans="2:26" x14ac:dyDescent="0.25">
      <c r="B247" s="4">
        <v>245</v>
      </c>
      <c r="C247" s="4">
        <f t="array" ref="C247">INDEX(Sheet1!$B$2:$F$22000,SMALL(IF(Sheet1!$A$2:$A$22000=$A$1,ROW(Sheet1!$B$2:$B$22000)),ROW($A245:$F245))-1,2)</f>
        <v>0</v>
      </c>
      <c r="D247" s="4">
        <f t="array" ref="D247">INDEX(Sheet1!$B$2:$F$22000,SMALL(IF(Sheet1!$A$2:$A$22000=$A$1,ROW(Sheet1!$B$2:$B$22000)),ROW($A245:$F245))-1,3)</f>
        <v>0</v>
      </c>
      <c r="E247" s="4">
        <f t="array" ref="E247">INDEX(Sheet1!$B$2:$F$22000,SMALL(IF(Sheet1!$A$2:$A$22000=$A$1,ROW(Sheet1!$B$2:$B$22000)),ROW($A245:$F245))-1,4)</f>
        <v>0</v>
      </c>
      <c r="F247" s="4">
        <f t="array" ref="F247">INDEX(Sheet1!$B$2:$F$22000,SMALL(IF(Sheet1!$A$2:$A$22000=$A$1,ROW(Sheet1!$B$2:$B$22000)),ROW($A245:$F245))-1,5)</f>
        <v>0</v>
      </c>
      <c r="M247" s="9">
        <v>245</v>
      </c>
      <c r="N247" s="10">
        <f t="shared" si="21"/>
        <v>0</v>
      </c>
      <c r="O247" s="11">
        <f t="shared" si="22"/>
        <v>0</v>
      </c>
      <c r="P247" s="12">
        <f t="shared" si="23"/>
        <v>0</v>
      </c>
      <c r="Q247" s="13">
        <f t="shared" si="24"/>
        <v>0</v>
      </c>
      <c r="V247" s="14">
        <f t="shared" si="20"/>
        <v>0.478515625</v>
      </c>
      <c r="W247" s="10">
        <f t="shared" si="25"/>
        <v>0</v>
      </c>
      <c r="X247" s="11">
        <f t="shared" si="25"/>
        <v>0</v>
      </c>
      <c r="Y247" s="12">
        <f t="shared" si="25"/>
        <v>0</v>
      </c>
      <c r="Z247" s="13">
        <f t="shared" si="25"/>
        <v>0</v>
      </c>
    </row>
    <row r="248" spans="2:26" x14ac:dyDescent="0.25">
      <c r="B248" s="4">
        <v>246</v>
      </c>
      <c r="C248" s="4">
        <f t="array" ref="C248">INDEX(Sheet1!$B$2:$F$22000,SMALL(IF(Sheet1!$A$2:$A$22000=$A$1,ROW(Sheet1!$B$2:$B$22000)),ROW($A246:$F246))-1,2)</f>
        <v>0</v>
      </c>
      <c r="D248" s="4">
        <f t="array" ref="D248">INDEX(Sheet1!$B$2:$F$22000,SMALL(IF(Sheet1!$A$2:$A$22000=$A$1,ROW(Sheet1!$B$2:$B$22000)),ROW($A246:$F246))-1,3)</f>
        <v>0</v>
      </c>
      <c r="E248" s="4">
        <f t="array" ref="E248">INDEX(Sheet1!$B$2:$F$22000,SMALL(IF(Sheet1!$A$2:$A$22000=$A$1,ROW(Sheet1!$B$2:$B$22000)),ROW($A246:$F246))-1,4)</f>
        <v>0</v>
      </c>
      <c r="F248" s="4">
        <f t="array" ref="F248">INDEX(Sheet1!$B$2:$F$22000,SMALL(IF(Sheet1!$A$2:$A$22000=$A$1,ROW(Sheet1!$B$2:$B$22000)),ROW($A246:$F246))-1,5)</f>
        <v>0</v>
      </c>
      <c r="M248" s="9">
        <v>246</v>
      </c>
      <c r="N248" s="10">
        <f t="shared" si="21"/>
        <v>0</v>
      </c>
      <c r="O248" s="11">
        <f t="shared" si="22"/>
        <v>0</v>
      </c>
      <c r="P248" s="12">
        <f t="shared" si="23"/>
        <v>0</v>
      </c>
      <c r="Q248" s="13">
        <f t="shared" si="24"/>
        <v>0</v>
      </c>
      <c r="V248" s="14">
        <f t="shared" si="20"/>
        <v>0.48046875</v>
      </c>
      <c r="W248" s="10">
        <f t="shared" si="25"/>
        <v>0</v>
      </c>
      <c r="X248" s="11">
        <f t="shared" si="25"/>
        <v>0</v>
      </c>
      <c r="Y248" s="12">
        <f t="shared" si="25"/>
        <v>0</v>
      </c>
      <c r="Z248" s="13">
        <f t="shared" si="25"/>
        <v>0</v>
      </c>
    </row>
    <row r="249" spans="2:26" x14ac:dyDescent="0.25">
      <c r="B249" s="4">
        <v>247</v>
      </c>
      <c r="C249" s="4">
        <f t="array" ref="C249">INDEX(Sheet1!$B$2:$F$22000,SMALL(IF(Sheet1!$A$2:$A$22000=$A$1,ROW(Sheet1!$B$2:$B$22000)),ROW($A247:$F247))-1,2)</f>
        <v>0</v>
      </c>
      <c r="D249" s="4">
        <f t="array" ref="D249">INDEX(Sheet1!$B$2:$F$22000,SMALL(IF(Sheet1!$A$2:$A$22000=$A$1,ROW(Sheet1!$B$2:$B$22000)),ROW($A247:$F247))-1,3)</f>
        <v>0</v>
      </c>
      <c r="E249" s="4">
        <f t="array" ref="E249">INDEX(Sheet1!$B$2:$F$22000,SMALL(IF(Sheet1!$A$2:$A$22000=$A$1,ROW(Sheet1!$B$2:$B$22000)),ROW($A247:$F247))-1,4)</f>
        <v>0</v>
      </c>
      <c r="F249" s="4">
        <f t="array" ref="F249">INDEX(Sheet1!$B$2:$F$22000,SMALL(IF(Sheet1!$A$2:$A$22000=$A$1,ROW(Sheet1!$B$2:$B$22000)),ROW($A247:$F247))-1,5)</f>
        <v>0</v>
      </c>
      <c r="M249" s="9">
        <v>247</v>
      </c>
      <c r="N249" s="10">
        <f t="shared" si="21"/>
        <v>0</v>
      </c>
      <c r="O249" s="11">
        <f t="shared" si="22"/>
        <v>0</v>
      </c>
      <c r="P249" s="12">
        <f t="shared" si="23"/>
        <v>0</v>
      </c>
      <c r="Q249" s="13">
        <f t="shared" si="24"/>
        <v>0</v>
      </c>
      <c r="V249" s="14">
        <f t="shared" si="20"/>
        <v>0.482421875</v>
      </c>
      <c r="W249" s="10">
        <f t="shared" si="25"/>
        <v>0</v>
      </c>
      <c r="X249" s="11">
        <f t="shared" si="25"/>
        <v>0</v>
      </c>
      <c r="Y249" s="12">
        <f t="shared" si="25"/>
        <v>0</v>
      </c>
      <c r="Z249" s="13">
        <f t="shared" si="25"/>
        <v>0</v>
      </c>
    </row>
    <row r="250" spans="2:26" x14ac:dyDescent="0.25">
      <c r="B250" s="4">
        <v>248</v>
      </c>
      <c r="C250" s="4">
        <f t="array" ref="C250">INDEX(Sheet1!$B$2:$F$22000,SMALL(IF(Sheet1!$A$2:$A$22000=$A$1,ROW(Sheet1!$B$2:$B$22000)),ROW($A248:$F248))-1,2)</f>
        <v>0</v>
      </c>
      <c r="D250" s="4">
        <f t="array" ref="D250">INDEX(Sheet1!$B$2:$F$22000,SMALL(IF(Sheet1!$A$2:$A$22000=$A$1,ROW(Sheet1!$B$2:$B$22000)),ROW($A248:$F248))-1,3)</f>
        <v>0</v>
      </c>
      <c r="E250" s="4">
        <f t="array" ref="E250">INDEX(Sheet1!$B$2:$F$22000,SMALL(IF(Sheet1!$A$2:$A$22000=$A$1,ROW(Sheet1!$B$2:$B$22000)),ROW($A248:$F248))-1,4)</f>
        <v>0</v>
      </c>
      <c r="F250" s="4">
        <f t="array" ref="F250">INDEX(Sheet1!$B$2:$F$22000,SMALL(IF(Sheet1!$A$2:$A$22000=$A$1,ROW(Sheet1!$B$2:$B$22000)),ROW($A248:$F248))-1,5)</f>
        <v>0</v>
      </c>
      <c r="M250" s="9">
        <v>248</v>
      </c>
      <c r="N250" s="10">
        <f t="shared" si="21"/>
        <v>0</v>
      </c>
      <c r="O250" s="11">
        <f t="shared" si="22"/>
        <v>0</v>
      </c>
      <c r="P250" s="12">
        <f t="shared" si="23"/>
        <v>0</v>
      </c>
      <c r="Q250" s="13">
        <f t="shared" si="24"/>
        <v>0</v>
      </c>
      <c r="V250" s="14">
        <f t="shared" si="20"/>
        <v>0.484375</v>
      </c>
      <c r="W250" s="10">
        <f t="shared" si="25"/>
        <v>0</v>
      </c>
      <c r="X250" s="11">
        <f t="shared" si="25"/>
        <v>0</v>
      </c>
      <c r="Y250" s="12">
        <f t="shared" si="25"/>
        <v>0</v>
      </c>
      <c r="Z250" s="13">
        <f t="shared" si="25"/>
        <v>0</v>
      </c>
    </row>
    <row r="251" spans="2:26" x14ac:dyDescent="0.25">
      <c r="B251" s="4">
        <v>249</v>
      </c>
      <c r="C251" s="4">
        <f t="array" ref="C251">INDEX(Sheet1!$B$2:$F$22000,SMALL(IF(Sheet1!$A$2:$A$22000=$A$1,ROW(Sheet1!$B$2:$B$22000)),ROW($A249:$F249))-1,2)</f>
        <v>0</v>
      </c>
      <c r="D251" s="4">
        <f t="array" ref="D251">INDEX(Sheet1!$B$2:$F$22000,SMALL(IF(Sheet1!$A$2:$A$22000=$A$1,ROW(Sheet1!$B$2:$B$22000)),ROW($A249:$F249))-1,3)</f>
        <v>0</v>
      </c>
      <c r="E251" s="4">
        <f t="array" ref="E251">INDEX(Sheet1!$B$2:$F$22000,SMALL(IF(Sheet1!$A$2:$A$22000=$A$1,ROW(Sheet1!$B$2:$B$22000)),ROW($A249:$F249))-1,4)</f>
        <v>0</v>
      </c>
      <c r="F251" s="4">
        <f t="array" ref="F251">INDEX(Sheet1!$B$2:$F$22000,SMALL(IF(Sheet1!$A$2:$A$22000=$A$1,ROW(Sheet1!$B$2:$B$22000)),ROW($A249:$F249))-1,5)</f>
        <v>0</v>
      </c>
      <c r="M251" s="9">
        <v>249</v>
      </c>
      <c r="N251" s="10">
        <f t="shared" si="21"/>
        <v>0</v>
      </c>
      <c r="O251" s="11">
        <f t="shared" si="22"/>
        <v>0</v>
      </c>
      <c r="P251" s="12">
        <f t="shared" si="23"/>
        <v>0</v>
      </c>
      <c r="Q251" s="13">
        <f t="shared" si="24"/>
        <v>0</v>
      </c>
      <c r="V251" s="14">
        <f t="shared" si="20"/>
        <v>0.486328125</v>
      </c>
      <c r="W251" s="10">
        <f t="shared" si="25"/>
        <v>0</v>
      </c>
      <c r="X251" s="11">
        <f t="shared" si="25"/>
        <v>0</v>
      </c>
      <c r="Y251" s="12">
        <f t="shared" si="25"/>
        <v>0</v>
      </c>
      <c r="Z251" s="13">
        <f t="shared" si="25"/>
        <v>0</v>
      </c>
    </row>
    <row r="252" spans="2:26" x14ac:dyDescent="0.25">
      <c r="B252" s="4">
        <v>250</v>
      </c>
      <c r="C252" s="4">
        <f t="array" ref="C252">INDEX(Sheet1!$B$2:$F$22000,SMALL(IF(Sheet1!$A$2:$A$22000=$A$1,ROW(Sheet1!$B$2:$B$22000)),ROW($A250:$F250))-1,2)</f>
        <v>0</v>
      </c>
      <c r="D252" s="4">
        <f t="array" ref="D252">INDEX(Sheet1!$B$2:$F$22000,SMALL(IF(Sheet1!$A$2:$A$22000=$A$1,ROW(Sheet1!$B$2:$B$22000)),ROW($A250:$F250))-1,3)</f>
        <v>0</v>
      </c>
      <c r="E252" s="4">
        <f t="array" ref="E252">INDEX(Sheet1!$B$2:$F$22000,SMALL(IF(Sheet1!$A$2:$A$22000=$A$1,ROW(Sheet1!$B$2:$B$22000)),ROW($A250:$F250))-1,4)</f>
        <v>0</v>
      </c>
      <c r="F252" s="4">
        <f t="array" ref="F252">INDEX(Sheet1!$B$2:$F$22000,SMALL(IF(Sheet1!$A$2:$A$22000=$A$1,ROW(Sheet1!$B$2:$B$22000)),ROW($A250:$F250))-1,5)</f>
        <v>0</v>
      </c>
      <c r="M252" s="9">
        <v>250</v>
      </c>
      <c r="N252" s="10">
        <f t="shared" si="21"/>
        <v>0</v>
      </c>
      <c r="O252" s="11">
        <f t="shared" si="22"/>
        <v>0</v>
      </c>
      <c r="P252" s="12">
        <f t="shared" si="23"/>
        <v>0</v>
      </c>
      <c r="Q252" s="13">
        <f t="shared" si="24"/>
        <v>0</v>
      </c>
      <c r="V252" s="14">
        <f t="shared" si="20"/>
        <v>0.48828125</v>
      </c>
      <c r="W252" s="10">
        <f t="shared" si="25"/>
        <v>0</v>
      </c>
      <c r="X252" s="11">
        <f t="shared" si="25"/>
        <v>0</v>
      </c>
      <c r="Y252" s="12">
        <f t="shared" si="25"/>
        <v>0</v>
      </c>
      <c r="Z252" s="13">
        <f t="shared" si="25"/>
        <v>0</v>
      </c>
    </row>
    <row r="253" spans="2:26" x14ac:dyDescent="0.25">
      <c r="B253" s="4">
        <v>251</v>
      </c>
      <c r="C253" s="4">
        <f t="array" ref="C253">INDEX(Sheet1!$B$2:$F$22000,SMALL(IF(Sheet1!$A$2:$A$22000=$A$1,ROW(Sheet1!$B$2:$B$22000)),ROW($A251:$F251))-1,2)</f>
        <v>0</v>
      </c>
      <c r="D253" s="4">
        <f t="array" ref="D253">INDEX(Sheet1!$B$2:$F$22000,SMALL(IF(Sheet1!$A$2:$A$22000=$A$1,ROW(Sheet1!$B$2:$B$22000)),ROW($A251:$F251))-1,3)</f>
        <v>0</v>
      </c>
      <c r="E253" s="4">
        <f t="array" ref="E253">INDEX(Sheet1!$B$2:$F$22000,SMALL(IF(Sheet1!$A$2:$A$22000=$A$1,ROW(Sheet1!$B$2:$B$22000)),ROW($A251:$F251))-1,4)</f>
        <v>0</v>
      </c>
      <c r="F253" s="4">
        <f t="array" ref="F253">INDEX(Sheet1!$B$2:$F$22000,SMALL(IF(Sheet1!$A$2:$A$22000=$A$1,ROW(Sheet1!$B$2:$B$22000)),ROW($A251:$F251))-1,5)</f>
        <v>0</v>
      </c>
      <c r="M253" s="9">
        <v>251</v>
      </c>
      <c r="N253" s="10">
        <f t="shared" si="21"/>
        <v>0</v>
      </c>
      <c r="O253" s="11">
        <f t="shared" si="22"/>
        <v>0</v>
      </c>
      <c r="P253" s="12">
        <f t="shared" si="23"/>
        <v>0</v>
      </c>
      <c r="Q253" s="13">
        <f t="shared" si="24"/>
        <v>0</v>
      </c>
      <c r="V253" s="14">
        <f t="shared" si="20"/>
        <v>0.490234375</v>
      </c>
      <c r="W253" s="10">
        <f t="shared" si="25"/>
        <v>0</v>
      </c>
      <c r="X253" s="11">
        <f t="shared" si="25"/>
        <v>0</v>
      </c>
      <c r="Y253" s="12">
        <f t="shared" si="25"/>
        <v>0</v>
      </c>
      <c r="Z253" s="13">
        <f t="shared" si="25"/>
        <v>0</v>
      </c>
    </row>
    <row r="254" spans="2:26" x14ac:dyDescent="0.25">
      <c r="B254" s="4">
        <v>252</v>
      </c>
      <c r="C254" s="4">
        <f t="array" ref="C254">INDEX(Sheet1!$B$2:$F$22000,SMALL(IF(Sheet1!$A$2:$A$22000=$A$1,ROW(Sheet1!$B$2:$B$22000)),ROW($A252:$F252))-1,2)</f>
        <v>0</v>
      </c>
      <c r="D254" s="4">
        <f t="array" ref="D254">INDEX(Sheet1!$B$2:$F$22000,SMALL(IF(Sheet1!$A$2:$A$22000=$A$1,ROW(Sheet1!$B$2:$B$22000)),ROW($A252:$F252))-1,3)</f>
        <v>0</v>
      </c>
      <c r="E254" s="4">
        <f t="array" ref="E254">INDEX(Sheet1!$B$2:$F$22000,SMALL(IF(Sheet1!$A$2:$A$22000=$A$1,ROW(Sheet1!$B$2:$B$22000)),ROW($A252:$F252))-1,4)</f>
        <v>0</v>
      </c>
      <c r="F254" s="4">
        <f t="array" ref="F254">INDEX(Sheet1!$B$2:$F$22000,SMALL(IF(Sheet1!$A$2:$A$22000=$A$1,ROW(Sheet1!$B$2:$B$22000)),ROW($A252:$F252))-1,5)</f>
        <v>0</v>
      </c>
      <c r="M254" s="9">
        <v>252</v>
      </c>
      <c r="N254" s="10">
        <f t="shared" si="21"/>
        <v>0</v>
      </c>
      <c r="O254" s="11">
        <f t="shared" si="22"/>
        <v>0</v>
      </c>
      <c r="P254" s="12">
        <f t="shared" si="23"/>
        <v>0</v>
      </c>
      <c r="Q254" s="13">
        <f t="shared" si="24"/>
        <v>0</v>
      </c>
      <c r="V254" s="14">
        <f t="shared" si="20"/>
        <v>0.4921875</v>
      </c>
      <c r="W254" s="10">
        <f t="shared" si="25"/>
        <v>0</v>
      </c>
      <c r="X254" s="11">
        <f t="shared" si="25"/>
        <v>0</v>
      </c>
      <c r="Y254" s="12">
        <f t="shared" si="25"/>
        <v>0</v>
      </c>
      <c r="Z254" s="13">
        <f t="shared" si="25"/>
        <v>0</v>
      </c>
    </row>
    <row r="255" spans="2:26" x14ac:dyDescent="0.25">
      <c r="B255" s="4">
        <v>253</v>
      </c>
      <c r="C255" s="4">
        <f t="array" ref="C255">INDEX(Sheet1!$B$2:$F$22000,SMALL(IF(Sheet1!$A$2:$A$22000=$A$1,ROW(Sheet1!$B$2:$B$22000)),ROW($A253:$F253))-1,2)</f>
        <v>0</v>
      </c>
      <c r="D255" s="4">
        <f t="array" ref="D255">INDEX(Sheet1!$B$2:$F$22000,SMALL(IF(Sheet1!$A$2:$A$22000=$A$1,ROW(Sheet1!$B$2:$B$22000)),ROW($A253:$F253))-1,3)</f>
        <v>0</v>
      </c>
      <c r="E255" s="4">
        <f t="array" ref="E255">INDEX(Sheet1!$B$2:$F$22000,SMALL(IF(Sheet1!$A$2:$A$22000=$A$1,ROW(Sheet1!$B$2:$B$22000)),ROW($A253:$F253))-1,4)</f>
        <v>0</v>
      </c>
      <c r="F255" s="4">
        <f t="array" ref="F255">INDEX(Sheet1!$B$2:$F$22000,SMALL(IF(Sheet1!$A$2:$A$22000=$A$1,ROW(Sheet1!$B$2:$B$22000)),ROW($A253:$F253))-1,5)</f>
        <v>0</v>
      </c>
      <c r="M255" s="9">
        <v>253</v>
      </c>
      <c r="N255" s="10">
        <f t="shared" si="21"/>
        <v>0</v>
      </c>
      <c r="O255" s="11">
        <f t="shared" si="22"/>
        <v>0</v>
      </c>
      <c r="P255" s="12">
        <f t="shared" si="23"/>
        <v>0</v>
      </c>
      <c r="Q255" s="13">
        <f t="shared" si="24"/>
        <v>0</v>
      </c>
      <c r="V255" s="14">
        <f t="shared" si="20"/>
        <v>0.494140625</v>
      </c>
      <c r="W255" s="10">
        <f t="shared" si="25"/>
        <v>0</v>
      </c>
      <c r="X255" s="11">
        <f t="shared" si="25"/>
        <v>0</v>
      </c>
      <c r="Y255" s="12">
        <f t="shared" si="25"/>
        <v>0</v>
      </c>
      <c r="Z255" s="13">
        <f t="shared" si="25"/>
        <v>0</v>
      </c>
    </row>
    <row r="256" spans="2:26" x14ac:dyDescent="0.25">
      <c r="B256" s="4">
        <v>254</v>
      </c>
      <c r="C256" s="4">
        <f t="array" ref="C256">INDEX(Sheet1!$B$2:$F$22000,SMALL(IF(Sheet1!$A$2:$A$22000=$A$1,ROW(Sheet1!$B$2:$B$22000)),ROW($A254:$F254))-1,2)</f>
        <v>0</v>
      </c>
      <c r="D256" s="4">
        <f t="array" ref="D256">INDEX(Sheet1!$B$2:$F$22000,SMALL(IF(Sheet1!$A$2:$A$22000=$A$1,ROW(Sheet1!$B$2:$B$22000)),ROW($A254:$F254))-1,3)</f>
        <v>0</v>
      </c>
      <c r="E256" s="4">
        <f t="array" ref="E256">INDEX(Sheet1!$B$2:$F$22000,SMALL(IF(Sheet1!$A$2:$A$22000=$A$1,ROW(Sheet1!$B$2:$B$22000)),ROW($A254:$F254))-1,4)</f>
        <v>0</v>
      </c>
      <c r="F256" s="4">
        <f t="array" ref="F256">INDEX(Sheet1!$B$2:$F$22000,SMALL(IF(Sheet1!$A$2:$A$22000=$A$1,ROW(Sheet1!$B$2:$B$22000)),ROW($A254:$F254))-1,5)</f>
        <v>0</v>
      </c>
      <c r="M256" s="9">
        <v>254</v>
      </c>
      <c r="N256" s="10">
        <f t="shared" si="21"/>
        <v>0</v>
      </c>
      <c r="O256" s="11">
        <f t="shared" si="22"/>
        <v>0</v>
      </c>
      <c r="P256" s="12">
        <f t="shared" si="23"/>
        <v>0</v>
      </c>
      <c r="Q256" s="13">
        <f t="shared" si="24"/>
        <v>0</v>
      </c>
      <c r="V256" s="14">
        <f t="shared" si="20"/>
        <v>0.49609375</v>
      </c>
      <c r="W256" s="10">
        <f t="shared" si="25"/>
        <v>0</v>
      </c>
      <c r="X256" s="11">
        <f t="shared" si="25"/>
        <v>0</v>
      </c>
      <c r="Y256" s="12">
        <f t="shared" si="25"/>
        <v>0</v>
      </c>
      <c r="Z256" s="13">
        <f t="shared" si="25"/>
        <v>0</v>
      </c>
    </row>
    <row r="257" spans="2:26" x14ac:dyDescent="0.25">
      <c r="B257" s="4">
        <v>255</v>
      </c>
      <c r="C257" s="4">
        <f t="array" ref="C257">INDEX(Sheet1!$B$2:$F$22000,SMALL(IF(Sheet1!$A$2:$A$22000=$A$1,ROW(Sheet1!$B$2:$B$22000)),ROW($A255:$F255))-1,2)</f>
        <v>0</v>
      </c>
      <c r="D257" s="4">
        <f t="array" ref="D257">INDEX(Sheet1!$B$2:$F$22000,SMALL(IF(Sheet1!$A$2:$A$22000=$A$1,ROW(Sheet1!$B$2:$B$22000)),ROW($A255:$F255))-1,3)</f>
        <v>0</v>
      </c>
      <c r="E257" s="4">
        <f t="array" ref="E257">INDEX(Sheet1!$B$2:$F$22000,SMALL(IF(Sheet1!$A$2:$A$22000=$A$1,ROW(Sheet1!$B$2:$B$22000)),ROW($A255:$F255))-1,4)</f>
        <v>0</v>
      </c>
      <c r="F257" s="4">
        <f t="array" ref="F257">INDEX(Sheet1!$B$2:$F$22000,SMALL(IF(Sheet1!$A$2:$A$22000=$A$1,ROW(Sheet1!$B$2:$B$22000)),ROW($A255:$F255))-1,5)</f>
        <v>0</v>
      </c>
      <c r="M257" s="9">
        <v>255</v>
      </c>
      <c r="N257" s="10">
        <f t="shared" si="21"/>
        <v>0</v>
      </c>
      <c r="O257" s="11">
        <f t="shared" si="22"/>
        <v>0</v>
      </c>
      <c r="P257" s="12">
        <f t="shared" si="23"/>
        <v>0</v>
      </c>
      <c r="Q257" s="13">
        <f t="shared" si="24"/>
        <v>0</v>
      </c>
      <c r="V257" s="14">
        <f t="shared" si="20"/>
        <v>0.498046875</v>
      </c>
      <c r="W257" s="10">
        <f t="shared" si="25"/>
        <v>0</v>
      </c>
      <c r="X257" s="11">
        <f t="shared" si="25"/>
        <v>0</v>
      </c>
      <c r="Y257" s="12">
        <f t="shared" si="25"/>
        <v>0</v>
      </c>
      <c r="Z257" s="13">
        <f t="shared" si="25"/>
        <v>0</v>
      </c>
    </row>
    <row r="258" spans="2:26" x14ac:dyDescent="0.25">
      <c r="B258" s="4">
        <v>256</v>
      </c>
      <c r="C258" s="4">
        <f t="array" ref="C258">INDEX(Sheet1!$B$2:$F$22000,SMALL(IF(Sheet1!$A$2:$A$22000=$A$1,ROW(Sheet1!$B$2:$B$22000)),ROW($A256:$F256))-1,2)</f>
        <v>0</v>
      </c>
      <c r="D258" s="4">
        <f t="array" ref="D258">INDEX(Sheet1!$B$2:$F$22000,SMALL(IF(Sheet1!$A$2:$A$22000=$A$1,ROW(Sheet1!$B$2:$B$22000)),ROW($A256:$F256))-1,3)</f>
        <v>0</v>
      </c>
      <c r="E258" s="4">
        <f t="array" ref="E258">INDEX(Sheet1!$B$2:$F$22000,SMALL(IF(Sheet1!$A$2:$A$22000=$A$1,ROW(Sheet1!$B$2:$B$22000)),ROW($A256:$F256))-1,4)</f>
        <v>0</v>
      </c>
      <c r="F258" s="4">
        <f t="array" ref="F258">INDEX(Sheet1!$B$2:$F$22000,SMALL(IF(Sheet1!$A$2:$A$22000=$A$1,ROW(Sheet1!$B$2:$B$22000)),ROW($A256:$F256))-1,5)</f>
        <v>0</v>
      </c>
      <c r="M258" s="9">
        <v>256</v>
      </c>
      <c r="N258" s="10">
        <f t="shared" si="21"/>
        <v>0</v>
      </c>
      <c r="O258" s="11">
        <f t="shared" si="22"/>
        <v>0</v>
      </c>
      <c r="P258" s="12">
        <f t="shared" si="23"/>
        <v>0</v>
      </c>
      <c r="Q258" s="13">
        <f t="shared" si="24"/>
        <v>0</v>
      </c>
      <c r="V258" s="14">
        <f t="shared" ref="V258:V321" si="26">$M258*(1/512)</f>
        <v>0.5</v>
      </c>
      <c r="W258" s="10">
        <f t="shared" si="25"/>
        <v>0</v>
      </c>
      <c r="X258" s="11">
        <f t="shared" si="25"/>
        <v>0</v>
      </c>
      <c r="Y258" s="12">
        <f t="shared" si="25"/>
        <v>0</v>
      </c>
      <c r="Z258" s="13">
        <f t="shared" si="25"/>
        <v>0</v>
      </c>
    </row>
    <row r="259" spans="2:26" x14ac:dyDescent="0.25">
      <c r="B259" s="4">
        <v>257</v>
      </c>
      <c r="C259" s="4">
        <f t="array" ref="C259">INDEX(Sheet1!$B$2:$F$22000,SMALL(IF(Sheet1!$A$2:$A$22000=$A$1,ROW(Sheet1!$B$2:$B$22000)),ROW($A257:$F257))-1,2)</f>
        <v>0</v>
      </c>
      <c r="D259" s="4">
        <f t="array" ref="D259">INDEX(Sheet1!$B$2:$F$22000,SMALL(IF(Sheet1!$A$2:$A$22000=$A$1,ROW(Sheet1!$B$2:$B$22000)),ROW($A257:$F257))-1,3)</f>
        <v>0</v>
      </c>
      <c r="E259" s="4">
        <f t="array" ref="E259">INDEX(Sheet1!$B$2:$F$22000,SMALL(IF(Sheet1!$A$2:$A$22000=$A$1,ROW(Sheet1!$B$2:$B$22000)),ROW($A257:$F257))-1,4)</f>
        <v>0</v>
      </c>
      <c r="F259" s="4">
        <f t="array" ref="F259">INDEX(Sheet1!$B$2:$F$22000,SMALL(IF(Sheet1!$A$2:$A$22000=$A$1,ROW(Sheet1!$B$2:$B$22000)),ROW($A257:$F257))-1,5)</f>
        <v>0</v>
      </c>
      <c r="M259" s="9">
        <v>257</v>
      </c>
      <c r="N259" s="10">
        <f t="shared" si="21"/>
        <v>0</v>
      </c>
      <c r="O259" s="11">
        <f t="shared" si="22"/>
        <v>0</v>
      </c>
      <c r="P259" s="12">
        <f t="shared" si="23"/>
        <v>0</v>
      </c>
      <c r="Q259" s="13">
        <f t="shared" si="24"/>
        <v>0</v>
      </c>
      <c r="V259" s="14">
        <f t="shared" si="26"/>
        <v>0.501953125</v>
      </c>
      <c r="W259" s="10">
        <f t="shared" si="25"/>
        <v>0</v>
      </c>
      <c r="X259" s="11">
        <f t="shared" si="25"/>
        <v>0</v>
      </c>
      <c r="Y259" s="12">
        <f t="shared" si="25"/>
        <v>0</v>
      </c>
      <c r="Z259" s="13">
        <f t="shared" ref="Z259:Z322" si="27">IMABS(U259)</f>
        <v>0</v>
      </c>
    </row>
    <row r="260" spans="2:26" x14ac:dyDescent="0.25">
      <c r="B260" s="4">
        <v>258</v>
      </c>
      <c r="C260" s="4">
        <f t="array" ref="C260">INDEX(Sheet1!$B$2:$F$22000,SMALL(IF(Sheet1!$A$2:$A$22000=$A$1,ROW(Sheet1!$B$2:$B$22000)),ROW($A258:$F258))-1,2)</f>
        <v>0</v>
      </c>
      <c r="D260" s="4">
        <f t="array" ref="D260">INDEX(Sheet1!$B$2:$F$22000,SMALL(IF(Sheet1!$A$2:$A$22000=$A$1,ROW(Sheet1!$B$2:$B$22000)),ROW($A258:$F258))-1,3)</f>
        <v>0</v>
      </c>
      <c r="E260" s="4">
        <f t="array" ref="E260">INDEX(Sheet1!$B$2:$F$22000,SMALL(IF(Sheet1!$A$2:$A$22000=$A$1,ROW(Sheet1!$B$2:$B$22000)),ROW($A258:$F258))-1,4)</f>
        <v>0</v>
      </c>
      <c r="F260" s="4">
        <f t="array" ref="F260">INDEX(Sheet1!$B$2:$F$22000,SMALL(IF(Sheet1!$A$2:$A$22000=$A$1,ROW(Sheet1!$B$2:$B$22000)),ROW($A258:$F258))-1,5)</f>
        <v>0</v>
      </c>
      <c r="M260" s="9">
        <v>258</v>
      </c>
      <c r="N260" s="10">
        <f t="shared" ref="N260:N323" si="28">C260</f>
        <v>0</v>
      </c>
      <c r="O260" s="11">
        <f t="shared" ref="O260:O323" si="29">D260</f>
        <v>0</v>
      </c>
      <c r="P260" s="12">
        <f t="shared" ref="P260:P323" si="30">E260</f>
        <v>0</v>
      </c>
      <c r="Q260" s="13">
        <f t="shared" ref="Q260:Q323" si="31">F260</f>
        <v>0</v>
      </c>
      <c r="V260" s="14">
        <f t="shared" si="26"/>
        <v>0.50390625</v>
      </c>
      <c r="W260" s="10">
        <f t="shared" ref="W260:Z323" si="32">IMABS(R260)</f>
        <v>0</v>
      </c>
      <c r="X260" s="11">
        <f t="shared" si="32"/>
        <v>0</v>
      </c>
      <c r="Y260" s="12">
        <f t="shared" si="32"/>
        <v>0</v>
      </c>
      <c r="Z260" s="13">
        <f t="shared" si="27"/>
        <v>0</v>
      </c>
    </row>
    <row r="261" spans="2:26" x14ac:dyDescent="0.25">
      <c r="B261" s="4">
        <v>259</v>
      </c>
      <c r="C261" s="4">
        <f t="array" ref="C261">INDEX(Sheet1!$B$2:$F$22000,SMALL(IF(Sheet1!$A$2:$A$22000=$A$1,ROW(Sheet1!$B$2:$B$22000)),ROW($A259:$F259))-1,2)</f>
        <v>0</v>
      </c>
      <c r="D261" s="4">
        <f t="array" ref="D261">INDEX(Sheet1!$B$2:$F$22000,SMALL(IF(Sheet1!$A$2:$A$22000=$A$1,ROW(Sheet1!$B$2:$B$22000)),ROW($A259:$F259))-1,3)</f>
        <v>0</v>
      </c>
      <c r="E261" s="4">
        <f t="array" ref="E261">INDEX(Sheet1!$B$2:$F$22000,SMALL(IF(Sheet1!$A$2:$A$22000=$A$1,ROW(Sheet1!$B$2:$B$22000)),ROW($A259:$F259))-1,4)</f>
        <v>0</v>
      </c>
      <c r="F261" s="4">
        <f t="array" ref="F261">INDEX(Sheet1!$B$2:$F$22000,SMALL(IF(Sheet1!$A$2:$A$22000=$A$1,ROW(Sheet1!$B$2:$B$22000)),ROW($A259:$F259))-1,5)</f>
        <v>0</v>
      </c>
      <c r="M261" s="9">
        <v>259</v>
      </c>
      <c r="N261" s="10">
        <f t="shared" si="28"/>
        <v>0</v>
      </c>
      <c r="O261" s="11">
        <f t="shared" si="29"/>
        <v>0</v>
      </c>
      <c r="P261" s="12">
        <f t="shared" si="30"/>
        <v>0</v>
      </c>
      <c r="Q261" s="13">
        <f t="shared" si="31"/>
        <v>0</v>
      </c>
      <c r="V261" s="14">
        <f t="shared" si="26"/>
        <v>0.505859375</v>
      </c>
      <c r="W261" s="10">
        <f t="shared" si="32"/>
        <v>0</v>
      </c>
      <c r="X261" s="11">
        <f t="shared" si="32"/>
        <v>0</v>
      </c>
      <c r="Y261" s="12">
        <f t="shared" si="32"/>
        <v>0</v>
      </c>
      <c r="Z261" s="13">
        <f t="shared" si="27"/>
        <v>0</v>
      </c>
    </row>
    <row r="262" spans="2:26" x14ac:dyDescent="0.25">
      <c r="B262" s="4">
        <v>260</v>
      </c>
      <c r="C262" s="4">
        <f t="array" ref="C262">INDEX(Sheet1!$B$2:$F$22000,SMALL(IF(Sheet1!$A$2:$A$22000=$A$1,ROW(Sheet1!$B$2:$B$22000)),ROW($A260:$F260))-1,2)</f>
        <v>0</v>
      </c>
      <c r="D262" s="4">
        <f t="array" ref="D262">INDEX(Sheet1!$B$2:$F$22000,SMALL(IF(Sheet1!$A$2:$A$22000=$A$1,ROW(Sheet1!$B$2:$B$22000)),ROW($A260:$F260))-1,3)</f>
        <v>0</v>
      </c>
      <c r="E262" s="4">
        <f t="array" ref="E262">INDEX(Sheet1!$B$2:$F$22000,SMALL(IF(Sheet1!$A$2:$A$22000=$A$1,ROW(Sheet1!$B$2:$B$22000)),ROW($A260:$F260))-1,4)</f>
        <v>0</v>
      </c>
      <c r="F262" s="4">
        <f t="array" ref="F262">INDEX(Sheet1!$B$2:$F$22000,SMALL(IF(Sheet1!$A$2:$A$22000=$A$1,ROW(Sheet1!$B$2:$B$22000)),ROW($A260:$F260))-1,5)</f>
        <v>0</v>
      </c>
      <c r="M262" s="9">
        <v>260</v>
      </c>
      <c r="N262" s="10">
        <f t="shared" si="28"/>
        <v>0</v>
      </c>
      <c r="O262" s="11">
        <f t="shared" si="29"/>
        <v>0</v>
      </c>
      <c r="P262" s="12">
        <f t="shared" si="30"/>
        <v>0</v>
      </c>
      <c r="Q262" s="13">
        <f t="shared" si="31"/>
        <v>0</v>
      </c>
      <c r="V262" s="14">
        <f t="shared" si="26"/>
        <v>0.5078125</v>
      </c>
      <c r="W262" s="10">
        <f t="shared" si="32"/>
        <v>0</v>
      </c>
      <c r="X262" s="11">
        <f t="shared" si="32"/>
        <v>0</v>
      </c>
      <c r="Y262" s="12">
        <f t="shared" si="32"/>
        <v>0</v>
      </c>
      <c r="Z262" s="13">
        <f t="shared" si="27"/>
        <v>0</v>
      </c>
    </row>
    <row r="263" spans="2:26" x14ac:dyDescent="0.25">
      <c r="B263" s="4">
        <v>261</v>
      </c>
      <c r="C263" s="4">
        <f t="array" ref="C263">INDEX(Sheet1!$B$2:$F$22000,SMALL(IF(Sheet1!$A$2:$A$22000=$A$1,ROW(Sheet1!$B$2:$B$22000)),ROW($A261:$F261))-1,2)</f>
        <v>0</v>
      </c>
      <c r="D263" s="4">
        <f t="array" ref="D263">INDEX(Sheet1!$B$2:$F$22000,SMALL(IF(Sheet1!$A$2:$A$22000=$A$1,ROW(Sheet1!$B$2:$B$22000)),ROW($A261:$F261))-1,3)</f>
        <v>0</v>
      </c>
      <c r="E263" s="4">
        <f t="array" ref="E263">INDEX(Sheet1!$B$2:$F$22000,SMALL(IF(Sheet1!$A$2:$A$22000=$A$1,ROW(Sheet1!$B$2:$B$22000)),ROW($A261:$F261))-1,4)</f>
        <v>0</v>
      </c>
      <c r="F263" s="4">
        <f t="array" ref="F263">INDEX(Sheet1!$B$2:$F$22000,SMALL(IF(Sheet1!$A$2:$A$22000=$A$1,ROW(Sheet1!$B$2:$B$22000)),ROW($A261:$F261))-1,5)</f>
        <v>0</v>
      </c>
      <c r="M263" s="9">
        <v>261</v>
      </c>
      <c r="N263" s="10">
        <f t="shared" si="28"/>
        <v>0</v>
      </c>
      <c r="O263" s="11">
        <f t="shared" si="29"/>
        <v>0</v>
      </c>
      <c r="P263" s="12">
        <f t="shared" si="30"/>
        <v>0</v>
      </c>
      <c r="Q263" s="13">
        <f t="shared" si="31"/>
        <v>0</v>
      </c>
      <c r="V263" s="14">
        <f t="shared" si="26"/>
        <v>0.509765625</v>
      </c>
      <c r="W263" s="10">
        <f t="shared" si="32"/>
        <v>0</v>
      </c>
      <c r="X263" s="11">
        <f t="shared" si="32"/>
        <v>0</v>
      </c>
      <c r="Y263" s="12">
        <f t="shared" si="32"/>
        <v>0</v>
      </c>
      <c r="Z263" s="13">
        <f t="shared" si="27"/>
        <v>0</v>
      </c>
    </row>
    <row r="264" spans="2:26" x14ac:dyDescent="0.25">
      <c r="B264" s="4">
        <v>262</v>
      </c>
      <c r="C264" s="4">
        <f t="array" ref="C264">INDEX(Sheet1!$B$2:$F$22000,SMALL(IF(Sheet1!$A$2:$A$22000=$A$1,ROW(Sheet1!$B$2:$B$22000)),ROW($A262:$F262))-1,2)</f>
        <v>0</v>
      </c>
      <c r="D264" s="4">
        <f t="array" ref="D264">INDEX(Sheet1!$B$2:$F$22000,SMALL(IF(Sheet1!$A$2:$A$22000=$A$1,ROW(Sheet1!$B$2:$B$22000)),ROW($A262:$F262))-1,3)</f>
        <v>0</v>
      </c>
      <c r="E264" s="4">
        <f t="array" ref="E264">INDEX(Sheet1!$B$2:$F$22000,SMALL(IF(Sheet1!$A$2:$A$22000=$A$1,ROW(Sheet1!$B$2:$B$22000)),ROW($A262:$F262))-1,4)</f>
        <v>0</v>
      </c>
      <c r="F264" s="4">
        <f t="array" ref="F264">INDEX(Sheet1!$B$2:$F$22000,SMALL(IF(Sheet1!$A$2:$A$22000=$A$1,ROW(Sheet1!$B$2:$B$22000)),ROW($A262:$F262))-1,5)</f>
        <v>0</v>
      </c>
      <c r="M264" s="9">
        <v>262</v>
      </c>
      <c r="N264" s="10">
        <f t="shared" si="28"/>
        <v>0</v>
      </c>
      <c r="O264" s="11">
        <f t="shared" si="29"/>
        <v>0</v>
      </c>
      <c r="P264" s="12">
        <f t="shared" si="30"/>
        <v>0</v>
      </c>
      <c r="Q264" s="13">
        <f t="shared" si="31"/>
        <v>0</v>
      </c>
      <c r="V264" s="14">
        <f t="shared" si="26"/>
        <v>0.51171875</v>
      </c>
      <c r="W264" s="10">
        <f t="shared" si="32"/>
        <v>0</v>
      </c>
      <c r="X264" s="11">
        <f t="shared" si="32"/>
        <v>0</v>
      </c>
      <c r="Y264" s="12">
        <f t="shared" si="32"/>
        <v>0</v>
      </c>
      <c r="Z264" s="13">
        <f t="shared" si="27"/>
        <v>0</v>
      </c>
    </row>
    <row r="265" spans="2:26" x14ac:dyDescent="0.25">
      <c r="B265" s="4">
        <v>263</v>
      </c>
      <c r="C265" s="4">
        <f t="array" ref="C265">INDEX(Sheet1!$B$2:$F$22000,SMALL(IF(Sheet1!$A$2:$A$22000=$A$1,ROW(Sheet1!$B$2:$B$22000)),ROW($A263:$F263))-1,2)</f>
        <v>0</v>
      </c>
      <c r="D265" s="4">
        <f t="array" ref="D265">INDEX(Sheet1!$B$2:$F$22000,SMALL(IF(Sheet1!$A$2:$A$22000=$A$1,ROW(Sheet1!$B$2:$B$22000)),ROW($A263:$F263))-1,3)</f>
        <v>0</v>
      </c>
      <c r="E265" s="4">
        <f t="array" ref="E265">INDEX(Sheet1!$B$2:$F$22000,SMALL(IF(Sheet1!$A$2:$A$22000=$A$1,ROW(Sheet1!$B$2:$B$22000)),ROW($A263:$F263))-1,4)</f>
        <v>0</v>
      </c>
      <c r="F265" s="4">
        <f t="array" ref="F265">INDEX(Sheet1!$B$2:$F$22000,SMALL(IF(Sheet1!$A$2:$A$22000=$A$1,ROW(Sheet1!$B$2:$B$22000)),ROW($A263:$F263))-1,5)</f>
        <v>0</v>
      </c>
      <c r="M265" s="9">
        <v>263</v>
      </c>
      <c r="N265" s="10">
        <f t="shared" si="28"/>
        <v>0</v>
      </c>
      <c r="O265" s="11">
        <f t="shared" si="29"/>
        <v>0</v>
      </c>
      <c r="P265" s="12">
        <f t="shared" si="30"/>
        <v>0</v>
      </c>
      <c r="Q265" s="13">
        <f t="shared" si="31"/>
        <v>0</v>
      </c>
      <c r="V265" s="14">
        <f t="shared" si="26"/>
        <v>0.513671875</v>
      </c>
      <c r="W265" s="10">
        <f t="shared" si="32"/>
        <v>0</v>
      </c>
      <c r="X265" s="11">
        <f t="shared" si="32"/>
        <v>0</v>
      </c>
      <c r="Y265" s="12">
        <f t="shared" si="32"/>
        <v>0</v>
      </c>
      <c r="Z265" s="13">
        <f t="shared" si="27"/>
        <v>0</v>
      </c>
    </row>
    <row r="266" spans="2:26" x14ac:dyDescent="0.25">
      <c r="B266" s="4">
        <v>264</v>
      </c>
      <c r="C266" s="4">
        <f t="array" ref="C266">INDEX(Sheet1!$B$2:$F$22000,SMALL(IF(Sheet1!$A$2:$A$22000=$A$1,ROW(Sheet1!$B$2:$B$22000)),ROW($A264:$F264))-1,2)</f>
        <v>0</v>
      </c>
      <c r="D266" s="4">
        <f t="array" ref="D266">INDEX(Sheet1!$B$2:$F$22000,SMALL(IF(Sheet1!$A$2:$A$22000=$A$1,ROW(Sheet1!$B$2:$B$22000)),ROW($A264:$F264))-1,3)</f>
        <v>0</v>
      </c>
      <c r="E266" s="4">
        <f t="array" ref="E266">INDEX(Sheet1!$B$2:$F$22000,SMALL(IF(Sheet1!$A$2:$A$22000=$A$1,ROW(Sheet1!$B$2:$B$22000)),ROW($A264:$F264))-1,4)</f>
        <v>0</v>
      </c>
      <c r="F266" s="4">
        <f t="array" ref="F266">INDEX(Sheet1!$B$2:$F$22000,SMALL(IF(Sheet1!$A$2:$A$22000=$A$1,ROW(Sheet1!$B$2:$B$22000)),ROW($A264:$F264))-1,5)</f>
        <v>0</v>
      </c>
      <c r="M266" s="9">
        <v>264</v>
      </c>
      <c r="N266" s="10">
        <f t="shared" si="28"/>
        <v>0</v>
      </c>
      <c r="O266" s="11">
        <f t="shared" si="29"/>
        <v>0</v>
      </c>
      <c r="P266" s="12">
        <f t="shared" si="30"/>
        <v>0</v>
      </c>
      <c r="Q266" s="13">
        <f t="shared" si="31"/>
        <v>0</v>
      </c>
      <c r="V266" s="14">
        <f t="shared" si="26"/>
        <v>0.515625</v>
      </c>
      <c r="W266" s="10">
        <f t="shared" si="32"/>
        <v>0</v>
      </c>
      <c r="X266" s="11">
        <f t="shared" si="32"/>
        <v>0</v>
      </c>
      <c r="Y266" s="12">
        <f t="shared" si="32"/>
        <v>0</v>
      </c>
      <c r="Z266" s="13">
        <f t="shared" si="27"/>
        <v>0</v>
      </c>
    </row>
    <row r="267" spans="2:26" x14ac:dyDescent="0.25">
      <c r="B267" s="4">
        <v>265</v>
      </c>
      <c r="C267" s="4">
        <f t="array" ref="C267">INDEX(Sheet1!$B$2:$F$22000,SMALL(IF(Sheet1!$A$2:$A$22000=$A$1,ROW(Sheet1!$B$2:$B$22000)),ROW($A265:$F265))-1,2)</f>
        <v>0</v>
      </c>
      <c r="D267" s="4">
        <f t="array" ref="D267">INDEX(Sheet1!$B$2:$F$22000,SMALL(IF(Sheet1!$A$2:$A$22000=$A$1,ROW(Sheet1!$B$2:$B$22000)),ROW($A265:$F265))-1,3)</f>
        <v>0</v>
      </c>
      <c r="E267" s="4">
        <f t="array" ref="E267">INDEX(Sheet1!$B$2:$F$22000,SMALL(IF(Sheet1!$A$2:$A$22000=$A$1,ROW(Sheet1!$B$2:$B$22000)),ROW($A265:$F265))-1,4)</f>
        <v>0</v>
      </c>
      <c r="F267" s="4">
        <f t="array" ref="F267">INDEX(Sheet1!$B$2:$F$22000,SMALL(IF(Sheet1!$A$2:$A$22000=$A$1,ROW(Sheet1!$B$2:$B$22000)),ROW($A265:$F265))-1,5)</f>
        <v>0</v>
      </c>
      <c r="M267" s="9">
        <v>265</v>
      </c>
      <c r="N267" s="10">
        <f t="shared" si="28"/>
        <v>0</v>
      </c>
      <c r="O267" s="11">
        <f t="shared" si="29"/>
        <v>0</v>
      </c>
      <c r="P267" s="12">
        <f t="shared" si="30"/>
        <v>0</v>
      </c>
      <c r="Q267" s="13">
        <f t="shared" si="31"/>
        <v>0</v>
      </c>
      <c r="V267" s="14">
        <f t="shared" si="26"/>
        <v>0.517578125</v>
      </c>
      <c r="W267" s="10">
        <f t="shared" si="32"/>
        <v>0</v>
      </c>
      <c r="X267" s="11">
        <f t="shared" si="32"/>
        <v>0</v>
      </c>
      <c r="Y267" s="12">
        <f t="shared" si="32"/>
        <v>0</v>
      </c>
      <c r="Z267" s="13">
        <f t="shared" si="27"/>
        <v>0</v>
      </c>
    </row>
    <row r="268" spans="2:26" x14ac:dyDescent="0.25">
      <c r="B268" s="4">
        <v>266</v>
      </c>
      <c r="C268" s="4">
        <f t="array" ref="C268">INDEX(Sheet1!$B$2:$F$22000,SMALL(IF(Sheet1!$A$2:$A$22000=$A$1,ROW(Sheet1!$B$2:$B$22000)),ROW($A266:$F266))-1,2)</f>
        <v>0</v>
      </c>
      <c r="D268" s="4">
        <f t="array" ref="D268">INDEX(Sheet1!$B$2:$F$22000,SMALL(IF(Sheet1!$A$2:$A$22000=$A$1,ROW(Sheet1!$B$2:$B$22000)),ROW($A266:$F266))-1,3)</f>
        <v>0</v>
      </c>
      <c r="E268" s="4">
        <f t="array" ref="E268">INDEX(Sheet1!$B$2:$F$22000,SMALL(IF(Sheet1!$A$2:$A$22000=$A$1,ROW(Sheet1!$B$2:$B$22000)),ROW($A266:$F266))-1,4)</f>
        <v>0</v>
      </c>
      <c r="F268" s="4">
        <f t="array" ref="F268">INDEX(Sheet1!$B$2:$F$22000,SMALL(IF(Sheet1!$A$2:$A$22000=$A$1,ROW(Sheet1!$B$2:$B$22000)),ROW($A266:$F266))-1,5)</f>
        <v>0</v>
      </c>
      <c r="M268" s="9">
        <v>266</v>
      </c>
      <c r="N268" s="10">
        <f t="shared" si="28"/>
        <v>0</v>
      </c>
      <c r="O268" s="11">
        <f t="shared" si="29"/>
        <v>0</v>
      </c>
      <c r="P268" s="12">
        <f t="shared" si="30"/>
        <v>0</v>
      </c>
      <c r="Q268" s="13">
        <f t="shared" si="31"/>
        <v>0</v>
      </c>
      <c r="V268" s="14">
        <f t="shared" si="26"/>
        <v>0.51953125</v>
      </c>
      <c r="W268" s="10">
        <f t="shared" si="32"/>
        <v>0</v>
      </c>
      <c r="X268" s="11">
        <f t="shared" si="32"/>
        <v>0</v>
      </c>
      <c r="Y268" s="12">
        <f t="shared" si="32"/>
        <v>0</v>
      </c>
      <c r="Z268" s="13">
        <f t="shared" si="27"/>
        <v>0</v>
      </c>
    </row>
    <row r="269" spans="2:26" x14ac:dyDescent="0.25">
      <c r="B269" s="4">
        <v>267</v>
      </c>
      <c r="C269" s="4">
        <f t="array" ref="C269">INDEX(Sheet1!$B$2:$F$22000,SMALL(IF(Sheet1!$A$2:$A$22000=$A$1,ROW(Sheet1!$B$2:$B$22000)),ROW($A267:$F267))-1,2)</f>
        <v>0</v>
      </c>
      <c r="D269" s="4">
        <f t="array" ref="D269">INDEX(Sheet1!$B$2:$F$22000,SMALL(IF(Sheet1!$A$2:$A$22000=$A$1,ROW(Sheet1!$B$2:$B$22000)),ROW($A267:$F267))-1,3)</f>
        <v>0</v>
      </c>
      <c r="E269" s="4">
        <f t="array" ref="E269">INDEX(Sheet1!$B$2:$F$22000,SMALL(IF(Sheet1!$A$2:$A$22000=$A$1,ROW(Sheet1!$B$2:$B$22000)),ROW($A267:$F267))-1,4)</f>
        <v>0</v>
      </c>
      <c r="F269" s="4">
        <f t="array" ref="F269">INDEX(Sheet1!$B$2:$F$22000,SMALL(IF(Sheet1!$A$2:$A$22000=$A$1,ROW(Sheet1!$B$2:$B$22000)),ROW($A267:$F267))-1,5)</f>
        <v>0</v>
      </c>
      <c r="M269" s="9">
        <v>267</v>
      </c>
      <c r="N269" s="10">
        <f t="shared" si="28"/>
        <v>0</v>
      </c>
      <c r="O269" s="11">
        <f t="shared" si="29"/>
        <v>0</v>
      </c>
      <c r="P269" s="12">
        <f t="shared" si="30"/>
        <v>0</v>
      </c>
      <c r="Q269" s="13">
        <f t="shared" si="31"/>
        <v>0</v>
      </c>
      <c r="V269" s="14">
        <f t="shared" si="26"/>
        <v>0.521484375</v>
      </c>
      <c r="W269" s="10">
        <f t="shared" si="32"/>
        <v>0</v>
      </c>
      <c r="X269" s="11">
        <f t="shared" si="32"/>
        <v>0</v>
      </c>
      <c r="Y269" s="12">
        <f t="shared" si="32"/>
        <v>0</v>
      </c>
      <c r="Z269" s="13">
        <f t="shared" si="27"/>
        <v>0</v>
      </c>
    </row>
    <row r="270" spans="2:26" x14ac:dyDescent="0.25">
      <c r="B270" s="4">
        <v>268</v>
      </c>
      <c r="C270" s="4">
        <f t="array" ref="C270">INDEX(Sheet1!$B$2:$F$22000,SMALL(IF(Sheet1!$A$2:$A$22000=$A$1,ROW(Sheet1!$B$2:$B$22000)),ROW($A268:$F268))-1,2)</f>
        <v>0</v>
      </c>
      <c r="D270" s="4">
        <f t="array" ref="D270">INDEX(Sheet1!$B$2:$F$22000,SMALL(IF(Sheet1!$A$2:$A$22000=$A$1,ROW(Sheet1!$B$2:$B$22000)),ROW($A268:$F268))-1,3)</f>
        <v>0</v>
      </c>
      <c r="E270" s="4">
        <f t="array" ref="E270">INDEX(Sheet1!$B$2:$F$22000,SMALL(IF(Sheet1!$A$2:$A$22000=$A$1,ROW(Sheet1!$B$2:$B$22000)),ROW($A268:$F268))-1,4)</f>
        <v>0</v>
      </c>
      <c r="F270" s="4">
        <f t="array" ref="F270">INDEX(Sheet1!$B$2:$F$22000,SMALL(IF(Sheet1!$A$2:$A$22000=$A$1,ROW(Sheet1!$B$2:$B$22000)),ROW($A268:$F268))-1,5)</f>
        <v>0</v>
      </c>
      <c r="M270" s="9">
        <v>268</v>
      </c>
      <c r="N270" s="10">
        <f t="shared" si="28"/>
        <v>0</v>
      </c>
      <c r="O270" s="11">
        <f t="shared" si="29"/>
        <v>0</v>
      </c>
      <c r="P270" s="12">
        <f t="shared" si="30"/>
        <v>0</v>
      </c>
      <c r="Q270" s="13">
        <f t="shared" si="31"/>
        <v>0</v>
      </c>
      <c r="V270" s="14">
        <f t="shared" si="26"/>
        <v>0.5234375</v>
      </c>
      <c r="W270" s="10">
        <f t="shared" si="32"/>
        <v>0</v>
      </c>
      <c r="X270" s="11">
        <f t="shared" si="32"/>
        <v>0</v>
      </c>
      <c r="Y270" s="12">
        <f t="shared" si="32"/>
        <v>0</v>
      </c>
      <c r="Z270" s="13">
        <f t="shared" si="27"/>
        <v>0</v>
      </c>
    </row>
    <row r="271" spans="2:26" x14ac:dyDescent="0.25">
      <c r="B271" s="4">
        <v>269</v>
      </c>
      <c r="C271" s="4">
        <f t="array" ref="C271">INDEX(Sheet1!$B$2:$F$22000,SMALL(IF(Sheet1!$A$2:$A$22000=$A$1,ROW(Sheet1!$B$2:$B$22000)),ROW($A269:$F269))-1,2)</f>
        <v>0</v>
      </c>
      <c r="D271" s="4">
        <f t="array" ref="D271">INDEX(Sheet1!$B$2:$F$22000,SMALL(IF(Sheet1!$A$2:$A$22000=$A$1,ROW(Sheet1!$B$2:$B$22000)),ROW($A269:$F269))-1,3)</f>
        <v>0</v>
      </c>
      <c r="E271" s="4">
        <f t="array" ref="E271">INDEX(Sheet1!$B$2:$F$22000,SMALL(IF(Sheet1!$A$2:$A$22000=$A$1,ROW(Sheet1!$B$2:$B$22000)),ROW($A269:$F269))-1,4)</f>
        <v>0</v>
      </c>
      <c r="F271" s="4">
        <f t="array" ref="F271">INDEX(Sheet1!$B$2:$F$22000,SMALL(IF(Sheet1!$A$2:$A$22000=$A$1,ROW(Sheet1!$B$2:$B$22000)),ROW($A269:$F269))-1,5)</f>
        <v>0</v>
      </c>
      <c r="M271" s="9">
        <v>269</v>
      </c>
      <c r="N271" s="10">
        <f t="shared" si="28"/>
        <v>0</v>
      </c>
      <c r="O271" s="11">
        <f t="shared" si="29"/>
        <v>0</v>
      </c>
      <c r="P271" s="12">
        <f t="shared" si="30"/>
        <v>0</v>
      </c>
      <c r="Q271" s="13">
        <f t="shared" si="31"/>
        <v>0</v>
      </c>
      <c r="V271" s="14">
        <f t="shared" si="26"/>
        <v>0.525390625</v>
      </c>
      <c r="W271" s="10">
        <f t="shared" si="32"/>
        <v>0</v>
      </c>
      <c r="X271" s="11">
        <f t="shared" si="32"/>
        <v>0</v>
      </c>
      <c r="Y271" s="12">
        <f t="shared" si="32"/>
        <v>0</v>
      </c>
      <c r="Z271" s="13">
        <f t="shared" si="27"/>
        <v>0</v>
      </c>
    </row>
    <row r="272" spans="2:26" x14ac:dyDescent="0.25">
      <c r="B272" s="4">
        <v>270</v>
      </c>
      <c r="C272" s="4">
        <f t="array" ref="C272">INDEX(Sheet1!$B$2:$F$22000,SMALL(IF(Sheet1!$A$2:$A$22000=$A$1,ROW(Sheet1!$B$2:$B$22000)),ROW($A270:$F270))-1,2)</f>
        <v>0</v>
      </c>
      <c r="D272" s="4">
        <f t="array" ref="D272">INDEX(Sheet1!$B$2:$F$22000,SMALL(IF(Sheet1!$A$2:$A$22000=$A$1,ROW(Sheet1!$B$2:$B$22000)),ROW($A270:$F270))-1,3)</f>
        <v>0</v>
      </c>
      <c r="E272" s="4">
        <f t="array" ref="E272">INDEX(Sheet1!$B$2:$F$22000,SMALL(IF(Sheet1!$A$2:$A$22000=$A$1,ROW(Sheet1!$B$2:$B$22000)),ROW($A270:$F270))-1,4)</f>
        <v>0</v>
      </c>
      <c r="F272" s="4">
        <f t="array" ref="F272">INDEX(Sheet1!$B$2:$F$22000,SMALL(IF(Sheet1!$A$2:$A$22000=$A$1,ROW(Sheet1!$B$2:$B$22000)),ROW($A270:$F270))-1,5)</f>
        <v>0</v>
      </c>
      <c r="M272" s="9">
        <v>270</v>
      </c>
      <c r="N272" s="10">
        <f t="shared" si="28"/>
        <v>0</v>
      </c>
      <c r="O272" s="11">
        <f t="shared" si="29"/>
        <v>0</v>
      </c>
      <c r="P272" s="12">
        <f t="shared" si="30"/>
        <v>0</v>
      </c>
      <c r="Q272" s="13">
        <f t="shared" si="31"/>
        <v>0</v>
      </c>
      <c r="V272" s="14">
        <f t="shared" si="26"/>
        <v>0.52734375</v>
      </c>
      <c r="W272" s="10">
        <f t="shared" si="32"/>
        <v>0</v>
      </c>
      <c r="X272" s="11">
        <f t="shared" si="32"/>
        <v>0</v>
      </c>
      <c r="Y272" s="12">
        <f t="shared" si="32"/>
        <v>0</v>
      </c>
      <c r="Z272" s="13">
        <f t="shared" si="27"/>
        <v>0</v>
      </c>
    </row>
    <row r="273" spans="2:26" x14ac:dyDescent="0.25">
      <c r="B273" s="4">
        <v>271</v>
      </c>
      <c r="C273" s="4">
        <f t="array" ref="C273">INDEX(Sheet1!$B$2:$F$22000,SMALL(IF(Sheet1!$A$2:$A$22000=$A$1,ROW(Sheet1!$B$2:$B$22000)),ROW($A271:$F271))-1,2)</f>
        <v>0</v>
      </c>
      <c r="D273" s="4">
        <f t="array" ref="D273">INDEX(Sheet1!$B$2:$F$22000,SMALL(IF(Sheet1!$A$2:$A$22000=$A$1,ROW(Sheet1!$B$2:$B$22000)),ROW($A271:$F271))-1,3)</f>
        <v>0</v>
      </c>
      <c r="E273" s="4">
        <f t="array" ref="E273">INDEX(Sheet1!$B$2:$F$22000,SMALL(IF(Sheet1!$A$2:$A$22000=$A$1,ROW(Sheet1!$B$2:$B$22000)),ROW($A271:$F271))-1,4)</f>
        <v>0</v>
      </c>
      <c r="F273" s="4">
        <f t="array" ref="F273">INDEX(Sheet1!$B$2:$F$22000,SMALL(IF(Sheet1!$A$2:$A$22000=$A$1,ROW(Sheet1!$B$2:$B$22000)),ROW($A271:$F271))-1,5)</f>
        <v>0</v>
      </c>
      <c r="M273" s="9">
        <v>271</v>
      </c>
      <c r="N273" s="10">
        <f t="shared" si="28"/>
        <v>0</v>
      </c>
      <c r="O273" s="11">
        <f t="shared" si="29"/>
        <v>0</v>
      </c>
      <c r="P273" s="12">
        <f t="shared" si="30"/>
        <v>0</v>
      </c>
      <c r="Q273" s="13">
        <f t="shared" si="31"/>
        <v>0</v>
      </c>
      <c r="V273" s="14">
        <f t="shared" si="26"/>
        <v>0.529296875</v>
      </c>
      <c r="W273" s="10">
        <f t="shared" si="32"/>
        <v>0</v>
      </c>
      <c r="X273" s="11">
        <f t="shared" si="32"/>
        <v>0</v>
      </c>
      <c r="Y273" s="12">
        <f t="shared" si="32"/>
        <v>0</v>
      </c>
      <c r="Z273" s="13">
        <f t="shared" si="27"/>
        <v>0</v>
      </c>
    </row>
    <row r="274" spans="2:26" x14ac:dyDescent="0.25">
      <c r="B274" s="4">
        <v>272</v>
      </c>
      <c r="C274" s="4">
        <f t="array" ref="C274">INDEX(Sheet1!$B$2:$F$22000,SMALL(IF(Sheet1!$A$2:$A$22000=$A$1,ROW(Sheet1!$B$2:$B$22000)),ROW($A272:$F272))-1,2)</f>
        <v>0</v>
      </c>
      <c r="D274" s="4">
        <f t="array" ref="D274">INDEX(Sheet1!$B$2:$F$22000,SMALL(IF(Sheet1!$A$2:$A$22000=$A$1,ROW(Sheet1!$B$2:$B$22000)),ROW($A272:$F272))-1,3)</f>
        <v>0</v>
      </c>
      <c r="E274" s="4">
        <f t="array" ref="E274">INDEX(Sheet1!$B$2:$F$22000,SMALL(IF(Sheet1!$A$2:$A$22000=$A$1,ROW(Sheet1!$B$2:$B$22000)),ROW($A272:$F272))-1,4)</f>
        <v>0</v>
      </c>
      <c r="F274" s="4">
        <f t="array" ref="F274">INDEX(Sheet1!$B$2:$F$22000,SMALL(IF(Sheet1!$A$2:$A$22000=$A$1,ROW(Sheet1!$B$2:$B$22000)),ROW($A272:$F272))-1,5)</f>
        <v>0</v>
      </c>
      <c r="M274" s="9">
        <v>272</v>
      </c>
      <c r="N274" s="10">
        <f t="shared" si="28"/>
        <v>0</v>
      </c>
      <c r="O274" s="11">
        <f t="shared" si="29"/>
        <v>0</v>
      </c>
      <c r="P274" s="12">
        <f t="shared" si="30"/>
        <v>0</v>
      </c>
      <c r="Q274" s="13">
        <f t="shared" si="31"/>
        <v>0</v>
      </c>
      <c r="V274" s="14">
        <f t="shared" si="26"/>
        <v>0.53125</v>
      </c>
      <c r="W274" s="10">
        <f t="shared" si="32"/>
        <v>0</v>
      </c>
      <c r="X274" s="11">
        <f t="shared" si="32"/>
        <v>0</v>
      </c>
      <c r="Y274" s="12">
        <f t="shared" si="32"/>
        <v>0</v>
      </c>
      <c r="Z274" s="13">
        <f t="shared" si="27"/>
        <v>0</v>
      </c>
    </row>
    <row r="275" spans="2:26" x14ac:dyDescent="0.25">
      <c r="B275" s="4">
        <v>273</v>
      </c>
      <c r="C275" s="4">
        <f t="array" ref="C275">INDEX(Sheet1!$B$2:$F$22000,SMALL(IF(Sheet1!$A$2:$A$22000=$A$1,ROW(Sheet1!$B$2:$B$22000)),ROW($A273:$F273))-1,2)</f>
        <v>0</v>
      </c>
      <c r="D275" s="4">
        <f t="array" ref="D275">INDEX(Sheet1!$B$2:$F$22000,SMALL(IF(Sheet1!$A$2:$A$22000=$A$1,ROW(Sheet1!$B$2:$B$22000)),ROW($A273:$F273))-1,3)</f>
        <v>0</v>
      </c>
      <c r="E275" s="4">
        <f t="array" ref="E275">INDEX(Sheet1!$B$2:$F$22000,SMALL(IF(Sheet1!$A$2:$A$22000=$A$1,ROW(Sheet1!$B$2:$B$22000)),ROW($A273:$F273))-1,4)</f>
        <v>0</v>
      </c>
      <c r="F275" s="4">
        <f t="array" ref="F275">INDEX(Sheet1!$B$2:$F$22000,SMALL(IF(Sheet1!$A$2:$A$22000=$A$1,ROW(Sheet1!$B$2:$B$22000)),ROW($A273:$F273))-1,5)</f>
        <v>0</v>
      </c>
      <c r="M275" s="9">
        <v>273</v>
      </c>
      <c r="N275" s="10">
        <f t="shared" si="28"/>
        <v>0</v>
      </c>
      <c r="O275" s="11">
        <f t="shared" si="29"/>
        <v>0</v>
      </c>
      <c r="P275" s="12">
        <f t="shared" si="30"/>
        <v>0</v>
      </c>
      <c r="Q275" s="13">
        <f t="shared" si="31"/>
        <v>0</v>
      </c>
      <c r="V275" s="14">
        <f t="shared" si="26"/>
        <v>0.533203125</v>
      </c>
      <c r="W275" s="10">
        <f t="shared" si="32"/>
        <v>0</v>
      </c>
      <c r="X275" s="11">
        <f t="shared" si="32"/>
        <v>0</v>
      </c>
      <c r="Y275" s="12">
        <f t="shared" si="32"/>
        <v>0</v>
      </c>
      <c r="Z275" s="13">
        <f t="shared" si="27"/>
        <v>0</v>
      </c>
    </row>
    <row r="276" spans="2:26" x14ac:dyDescent="0.25">
      <c r="B276" s="4">
        <v>274</v>
      </c>
      <c r="C276" s="4">
        <f t="array" ref="C276">INDEX(Sheet1!$B$2:$F$22000,SMALL(IF(Sheet1!$A$2:$A$22000=$A$1,ROW(Sheet1!$B$2:$B$22000)),ROW($A274:$F274))-1,2)</f>
        <v>0</v>
      </c>
      <c r="D276" s="4">
        <f t="array" ref="D276">INDEX(Sheet1!$B$2:$F$22000,SMALL(IF(Sheet1!$A$2:$A$22000=$A$1,ROW(Sheet1!$B$2:$B$22000)),ROW($A274:$F274))-1,3)</f>
        <v>0</v>
      </c>
      <c r="E276" s="4">
        <f t="array" ref="E276">INDEX(Sheet1!$B$2:$F$22000,SMALL(IF(Sheet1!$A$2:$A$22000=$A$1,ROW(Sheet1!$B$2:$B$22000)),ROW($A274:$F274))-1,4)</f>
        <v>0</v>
      </c>
      <c r="F276" s="4">
        <f t="array" ref="F276">INDEX(Sheet1!$B$2:$F$22000,SMALL(IF(Sheet1!$A$2:$A$22000=$A$1,ROW(Sheet1!$B$2:$B$22000)),ROW($A274:$F274))-1,5)</f>
        <v>0</v>
      </c>
      <c r="M276" s="9">
        <v>274</v>
      </c>
      <c r="N276" s="10">
        <f t="shared" si="28"/>
        <v>0</v>
      </c>
      <c r="O276" s="11">
        <f t="shared" si="29"/>
        <v>0</v>
      </c>
      <c r="P276" s="12">
        <f t="shared" si="30"/>
        <v>0</v>
      </c>
      <c r="Q276" s="13">
        <f t="shared" si="31"/>
        <v>0</v>
      </c>
      <c r="V276" s="14">
        <f t="shared" si="26"/>
        <v>0.53515625</v>
      </c>
      <c r="W276" s="10">
        <f t="shared" si="32"/>
        <v>0</v>
      </c>
      <c r="X276" s="11">
        <f t="shared" si="32"/>
        <v>0</v>
      </c>
      <c r="Y276" s="12">
        <f t="shared" si="32"/>
        <v>0</v>
      </c>
      <c r="Z276" s="13">
        <f t="shared" si="27"/>
        <v>0</v>
      </c>
    </row>
    <row r="277" spans="2:26" x14ac:dyDescent="0.25">
      <c r="B277" s="4">
        <v>275</v>
      </c>
      <c r="C277" s="4">
        <f t="array" ref="C277">INDEX(Sheet1!$B$2:$F$22000,SMALL(IF(Sheet1!$A$2:$A$22000=$A$1,ROW(Sheet1!$B$2:$B$22000)),ROW($A275:$F275))-1,2)</f>
        <v>0</v>
      </c>
      <c r="D277" s="4">
        <f t="array" ref="D277">INDEX(Sheet1!$B$2:$F$22000,SMALL(IF(Sheet1!$A$2:$A$22000=$A$1,ROW(Sheet1!$B$2:$B$22000)),ROW($A275:$F275))-1,3)</f>
        <v>0</v>
      </c>
      <c r="E277" s="4">
        <f t="array" ref="E277">INDEX(Sheet1!$B$2:$F$22000,SMALL(IF(Sheet1!$A$2:$A$22000=$A$1,ROW(Sheet1!$B$2:$B$22000)),ROW($A275:$F275))-1,4)</f>
        <v>0</v>
      </c>
      <c r="F277" s="4">
        <f t="array" ref="F277">INDEX(Sheet1!$B$2:$F$22000,SMALL(IF(Sheet1!$A$2:$A$22000=$A$1,ROW(Sheet1!$B$2:$B$22000)),ROW($A275:$F275))-1,5)</f>
        <v>0</v>
      </c>
      <c r="M277" s="9">
        <v>275</v>
      </c>
      <c r="N277" s="10">
        <f t="shared" si="28"/>
        <v>0</v>
      </c>
      <c r="O277" s="11">
        <f t="shared" si="29"/>
        <v>0</v>
      </c>
      <c r="P277" s="12">
        <f t="shared" si="30"/>
        <v>0</v>
      </c>
      <c r="Q277" s="13">
        <f t="shared" si="31"/>
        <v>0</v>
      </c>
      <c r="V277" s="14">
        <f t="shared" si="26"/>
        <v>0.537109375</v>
      </c>
      <c r="W277" s="10">
        <f t="shared" si="32"/>
        <v>0</v>
      </c>
      <c r="X277" s="11">
        <f t="shared" si="32"/>
        <v>0</v>
      </c>
      <c r="Y277" s="12">
        <f t="shared" si="32"/>
        <v>0</v>
      </c>
      <c r="Z277" s="13">
        <f t="shared" si="27"/>
        <v>0</v>
      </c>
    </row>
    <row r="278" spans="2:26" x14ac:dyDescent="0.25">
      <c r="B278" s="4">
        <v>276</v>
      </c>
      <c r="C278" s="4">
        <f t="array" ref="C278">INDEX(Sheet1!$B$2:$F$22000,SMALL(IF(Sheet1!$A$2:$A$22000=$A$1,ROW(Sheet1!$B$2:$B$22000)),ROW($A276:$F276))-1,2)</f>
        <v>0</v>
      </c>
      <c r="D278" s="4">
        <f t="array" ref="D278">INDEX(Sheet1!$B$2:$F$22000,SMALL(IF(Sheet1!$A$2:$A$22000=$A$1,ROW(Sheet1!$B$2:$B$22000)),ROW($A276:$F276))-1,3)</f>
        <v>0</v>
      </c>
      <c r="E278" s="4">
        <f t="array" ref="E278">INDEX(Sheet1!$B$2:$F$22000,SMALL(IF(Sheet1!$A$2:$A$22000=$A$1,ROW(Sheet1!$B$2:$B$22000)),ROW($A276:$F276))-1,4)</f>
        <v>0</v>
      </c>
      <c r="F278" s="4">
        <f t="array" ref="F278">INDEX(Sheet1!$B$2:$F$22000,SMALL(IF(Sheet1!$A$2:$A$22000=$A$1,ROW(Sheet1!$B$2:$B$22000)),ROW($A276:$F276))-1,5)</f>
        <v>0</v>
      </c>
      <c r="M278" s="9">
        <v>276</v>
      </c>
      <c r="N278" s="10">
        <f t="shared" si="28"/>
        <v>0</v>
      </c>
      <c r="O278" s="11">
        <f t="shared" si="29"/>
        <v>0</v>
      </c>
      <c r="P278" s="12">
        <f t="shared" si="30"/>
        <v>0</v>
      </c>
      <c r="Q278" s="13">
        <f t="shared" si="31"/>
        <v>0</v>
      </c>
      <c r="V278" s="14">
        <f t="shared" si="26"/>
        <v>0.5390625</v>
      </c>
      <c r="W278" s="10">
        <f t="shared" si="32"/>
        <v>0</v>
      </c>
      <c r="X278" s="11">
        <f t="shared" si="32"/>
        <v>0</v>
      </c>
      <c r="Y278" s="12">
        <f t="shared" si="32"/>
        <v>0</v>
      </c>
      <c r="Z278" s="13">
        <f t="shared" si="27"/>
        <v>0</v>
      </c>
    </row>
    <row r="279" spans="2:26" x14ac:dyDescent="0.25">
      <c r="B279" s="4">
        <v>277</v>
      </c>
      <c r="C279" s="4">
        <f t="array" ref="C279">INDEX(Sheet1!$B$2:$F$22000,SMALL(IF(Sheet1!$A$2:$A$22000=$A$1,ROW(Sheet1!$B$2:$B$22000)),ROW($A277:$F277))-1,2)</f>
        <v>0</v>
      </c>
      <c r="D279" s="4">
        <f t="array" ref="D279">INDEX(Sheet1!$B$2:$F$22000,SMALL(IF(Sheet1!$A$2:$A$22000=$A$1,ROW(Sheet1!$B$2:$B$22000)),ROW($A277:$F277))-1,3)</f>
        <v>0</v>
      </c>
      <c r="E279" s="4">
        <f t="array" ref="E279">INDEX(Sheet1!$B$2:$F$22000,SMALL(IF(Sheet1!$A$2:$A$22000=$A$1,ROW(Sheet1!$B$2:$B$22000)),ROW($A277:$F277))-1,4)</f>
        <v>0</v>
      </c>
      <c r="F279" s="4">
        <f t="array" ref="F279">INDEX(Sheet1!$B$2:$F$22000,SMALL(IF(Sheet1!$A$2:$A$22000=$A$1,ROW(Sheet1!$B$2:$B$22000)),ROW($A277:$F277))-1,5)</f>
        <v>0</v>
      </c>
      <c r="M279" s="9">
        <v>277</v>
      </c>
      <c r="N279" s="10">
        <f t="shared" si="28"/>
        <v>0</v>
      </c>
      <c r="O279" s="11">
        <f t="shared" si="29"/>
        <v>0</v>
      </c>
      <c r="P279" s="12">
        <f t="shared" si="30"/>
        <v>0</v>
      </c>
      <c r="Q279" s="13">
        <f t="shared" si="31"/>
        <v>0</v>
      </c>
      <c r="V279" s="14">
        <f t="shared" si="26"/>
        <v>0.541015625</v>
      </c>
      <c r="W279" s="10">
        <f t="shared" si="32"/>
        <v>0</v>
      </c>
      <c r="X279" s="11">
        <f t="shared" si="32"/>
        <v>0</v>
      </c>
      <c r="Y279" s="12">
        <f t="shared" si="32"/>
        <v>0</v>
      </c>
      <c r="Z279" s="13">
        <f t="shared" si="27"/>
        <v>0</v>
      </c>
    </row>
    <row r="280" spans="2:26" x14ac:dyDescent="0.25">
      <c r="B280" s="4">
        <v>278</v>
      </c>
      <c r="C280" s="4">
        <f t="array" ref="C280">INDEX(Sheet1!$B$2:$F$22000,SMALL(IF(Sheet1!$A$2:$A$22000=$A$1,ROW(Sheet1!$B$2:$B$22000)),ROW($A278:$F278))-1,2)</f>
        <v>0</v>
      </c>
      <c r="D280" s="4">
        <f t="array" ref="D280">INDEX(Sheet1!$B$2:$F$22000,SMALL(IF(Sheet1!$A$2:$A$22000=$A$1,ROW(Sheet1!$B$2:$B$22000)),ROW($A278:$F278))-1,3)</f>
        <v>0</v>
      </c>
      <c r="E280" s="4">
        <f t="array" ref="E280">INDEX(Sheet1!$B$2:$F$22000,SMALL(IF(Sheet1!$A$2:$A$22000=$A$1,ROW(Sheet1!$B$2:$B$22000)),ROW($A278:$F278))-1,4)</f>
        <v>0</v>
      </c>
      <c r="F280" s="4">
        <f t="array" ref="F280">INDEX(Sheet1!$B$2:$F$22000,SMALL(IF(Sheet1!$A$2:$A$22000=$A$1,ROW(Sheet1!$B$2:$B$22000)),ROW($A278:$F278))-1,5)</f>
        <v>0</v>
      </c>
      <c r="M280" s="9">
        <v>278</v>
      </c>
      <c r="N280" s="10">
        <f t="shared" si="28"/>
        <v>0</v>
      </c>
      <c r="O280" s="11">
        <f t="shared" si="29"/>
        <v>0</v>
      </c>
      <c r="P280" s="12">
        <f t="shared" si="30"/>
        <v>0</v>
      </c>
      <c r="Q280" s="13">
        <f t="shared" si="31"/>
        <v>0</v>
      </c>
      <c r="V280" s="14">
        <f t="shared" si="26"/>
        <v>0.54296875</v>
      </c>
      <c r="W280" s="10">
        <f t="shared" si="32"/>
        <v>0</v>
      </c>
      <c r="X280" s="11">
        <f t="shared" si="32"/>
        <v>0</v>
      </c>
      <c r="Y280" s="12">
        <f t="shared" si="32"/>
        <v>0</v>
      </c>
      <c r="Z280" s="13">
        <f t="shared" si="27"/>
        <v>0</v>
      </c>
    </row>
    <row r="281" spans="2:26" x14ac:dyDescent="0.25">
      <c r="B281" s="4">
        <v>279</v>
      </c>
      <c r="C281" s="4">
        <f t="array" ref="C281">INDEX(Sheet1!$B$2:$F$22000,SMALL(IF(Sheet1!$A$2:$A$22000=$A$1,ROW(Sheet1!$B$2:$B$22000)),ROW($A279:$F279))-1,2)</f>
        <v>0</v>
      </c>
      <c r="D281" s="4">
        <f t="array" ref="D281">INDEX(Sheet1!$B$2:$F$22000,SMALL(IF(Sheet1!$A$2:$A$22000=$A$1,ROW(Sheet1!$B$2:$B$22000)),ROW($A279:$F279))-1,3)</f>
        <v>0</v>
      </c>
      <c r="E281" s="4">
        <f t="array" ref="E281">INDEX(Sheet1!$B$2:$F$22000,SMALL(IF(Sheet1!$A$2:$A$22000=$A$1,ROW(Sheet1!$B$2:$B$22000)),ROW($A279:$F279))-1,4)</f>
        <v>0</v>
      </c>
      <c r="F281" s="4">
        <f t="array" ref="F281">INDEX(Sheet1!$B$2:$F$22000,SMALL(IF(Sheet1!$A$2:$A$22000=$A$1,ROW(Sheet1!$B$2:$B$22000)),ROW($A279:$F279))-1,5)</f>
        <v>0</v>
      </c>
      <c r="M281" s="9">
        <v>279</v>
      </c>
      <c r="N281" s="10">
        <f t="shared" si="28"/>
        <v>0</v>
      </c>
      <c r="O281" s="11">
        <f t="shared" si="29"/>
        <v>0</v>
      </c>
      <c r="P281" s="12">
        <f t="shared" si="30"/>
        <v>0</v>
      </c>
      <c r="Q281" s="13">
        <f t="shared" si="31"/>
        <v>0</v>
      </c>
      <c r="V281" s="14">
        <f t="shared" si="26"/>
        <v>0.544921875</v>
      </c>
      <c r="W281" s="10">
        <f t="shared" si="32"/>
        <v>0</v>
      </c>
      <c r="X281" s="11">
        <f t="shared" si="32"/>
        <v>0</v>
      </c>
      <c r="Y281" s="12">
        <f t="shared" si="32"/>
        <v>0</v>
      </c>
      <c r="Z281" s="13">
        <f t="shared" si="27"/>
        <v>0</v>
      </c>
    </row>
    <row r="282" spans="2:26" x14ac:dyDescent="0.25">
      <c r="B282" s="4">
        <v>280</v>
      </c>
      <c r="C282" s="4">
        <f t="array" ref="C282">INDEX(Sheet1!$B$2:$F$22000,SMALL(IF(Sheet1!$A$2:$A$22000=$A$1,ROW(Sheet1!$B$2:$B$22000)),ROW($A280:$F280))-1,2)</f>
        <v>0</v>
      </c>
      <c r="D282" s="4">
        <f t="array" ref="D282">INDEX(Sheet1!$B$2:$F$22000,SMALL(IF(Sheet1!$A$2:$A$22000=$A$1,ROW(Sheet1!$B$2:$B$22000)),ROW($A280:$F280))-1,3)</f>
        <v>0</v>
      </c>
      <c r="E282" s="4">
        <f t="array" ref="E282">INDEX(Sheet1!$B$2:$F$22000,SMALL(IF(Sheet1!$A$2:$A$22000=$A$1,ROW(Sheet1!$B$2:$B$22000)),ROW($A280:$F280))-1,4)</f>
        <v>0</v>
      </c>
      <c r="F282" s="4">
        <f t="array" ref="F282">INDEX(Sheet1!$B$2:$F$22000,SMALL(IF(Sheet1!$A$2:$A$22000=$A$1,ROW(Sheet1!$B$2:$B$22000)),ROW($A280:$F280))-1,5)</f>
        <v>0</v>
      </c>
      <c r="M282" s="9">
        <v>280</v>
      </c>
      <c r="N282" s="10">
        <f t="shared" si="28"/>
        <v>0</v>
      </c>
      <c r="O282" s="11">
        <f t="shared" si="29"/>
        <v>0</v>
      </c>
      <c r="P282" s="12">
        <f t="shared" si="30"/>
        <v>0</v>
      </c>
      <c r="Q282" s="13">
        <f t="shared" si="31"/>
        <v>0</v>
      </c>
      <c r="V282" s="14">
        <f t="shared" si="26"/>
        <v>0.546875</v>
      </c>
      <c r="W282" s="10">
        <f t="shared" si="32"/>
        <v>0</v>
      </c>
      <c r="X282" s="11">
        <f t="shared" si="32"/>
        <v>0</v>
      </c>
      <c r="Y282" s="12">
        <f t="shared" si="32"/>
        <v>0</v>
      </c>
      <c r="Z282" s="13">
        <f t="shared" si="27"/>
        <v>0</v>
      </c>
    </row>
    <row r="283" spans="2:26" x14ac:dyDescent="0.25">
      <c r="B283" s="4">
        <v>281</v>
      </c>
      <c r="C283" s="4">
        <f t="array" ref="C283">INDEX(Sheet1!$B$2:$F$22000,SMALL(IF(Sheet1!$A$2:$A$22000=$A$1,ROW(Sheet1!$B$2:$B$22000)),ROW($A281:$F281))-1,2)</f>
        <v>0</v>
      </c>
      <c r="D283" s="4">
        <f t="array" ref="D283">INDEX(Sheet1!$B$2:$F$22000,SMALL(IF(Sheet1!$A$2:$A$22000=$A$1,ROW(Sheet1!$B$2:$B$22000)),ROW($A281:$F281))-1,3)</f>
        <v>0</v>
      </c>
      <c r="E283" s="4">
        <f t="array" ref="E283">INDEX(Sheet1!$B$2:$F$22000,SMALL(IF(Sheet1!$A$2:$A$22000=$A$1,ROW(Sheet1!$B$2:$B$22000)),ROW($A281:$F281))-1,4)</f>
        <v>0</v>
      </c>
      <c r="F283" s="4">
        <f t="array" ref="F283">INDEX(Sheet1!$B$2:$F$22000,SMALL(IF(Sheet1!$A$2:$A$22000=$A$1,ROW(Sheet1!$B$2:$B$22000)),ROW($A281:$F281))-1,5)</f>
        <v>0</v>
      </c>
      <c r="M283" s="9">
        <v>281</v>
      </c>
      <c r="N283" s="10">
        <f t="shared" si="28"/>
        <v>0</v>
      </c>
      <c r="O283" s="11">
        <f t="shared" si="29"/>
        <v>0</v>
      </c>
      <c r="P283" s="12">
        <f t="shared" si="30"/>
        <v>0</v>
      </c>
      <c r="Q283" s="13">
        <f t="shared" si="31"/>
        <v>0</v>
      </c>
      <c r="V283" s="14">
        <f t="shared" si="26"/>
        <v>0.548828125</v>
      </c>
      <c r="W283" s="10">
        <f t="shared" si="32"/>
        <v>0</v>
      </c>
      <c r="X283" s="11">
        <f t="shared" si="32"/>
        <v>0</v>
      </c>
      <c r="Y283" s="12">
        <f t="shared" si="32"/>
        <v>0</v>
      </c>
      <c r="Z283" s="13">
        <f t="shared" si="27"/>
        <v>0</v>
      </c>
    </row>
    <row r="284" spans="2:26" x14ac:dyDescent="0.25">
      <c r="B284" s="4">
        <v>282</v>
      </c>
      <c r="C284" s="4">
        <f t="array" ref="C284">INDEX(Sheet1!$B$2:$F$22000,SMALL(IF(Sheet1!$A$2:$A$22000=$A$1,ROW(Sheet1!$B$2:$B$22000)),ROW($A282:$F282))-1,2)</f>
        <v>0</v>
      </c>
      <c r="D284" s="4">
        <f t="array" ref="D284">INDEX(Sheet1!$B$2:$F$22000,SMALL(IF(Sheet1!$A$2:$A$22000=$A$1,ROW(Sheet1!$B$2:$B$22000)),ROW($A282:$F282))-1,3)</f>
        <v>0</v>
      </c>
      <c r="E284" s="4">
        <f t="array" ref="E284">INDEX(Sheet1!$B$2:$F$22000,SMALL(IF(Sheet1!$A$2:$A$22000=$A$1,ROW(Sheet1!$B$2:$B$22000)),ROW($A282:$F282))-1,4)</f>
        <v>0</v>
      </c>
      <c r="F284" s="4">
        <f t="array" ref="F284">INDEX(Sheet1!$B$2:$F$22000,SMALL(IF(Sheet1!$A$2:$A$22000=$A$1,ROW(Sheet1!$B$2:$B$22000)),ROW($A282:$F282))-1,5)</f>
        <v>0</v>
      </c>
      <c r="M284" s="9">
        <v>282</v>
      </c>
      <c r="N284" s="10">
        <f t="shared" si="28"/>
        <v>0</v>
      </c>
      <c r="O284" s="11">
        <f t="shared" si="29"/>
        <v>0</v>
      </c>
      <c r="P284" s="12">
        <f t="shared" si="30"/>
        <v>0</v>
      </c>
      <c r="Q284" s="13">
        <f t="shared" si="31"/>
        <v>0</v>
      </c>
      <c r="V284" s="14">
        <f t="shared" si="26"/>
        <v>0.55078125</v>
      </c>
      <c r="W284" s="10">
        <f t="shared" si="32"/>
        <v>0</v>
      </c>
      <c r="X284" s="11">
        <f t="shared" si="32"/>
        <v>0</v>
      </c>
      <c r="Y284" s="12">
        <f t="shared" si="32"/>
        <v>0</v>
      </c>
      <c r="Z284" s="13">
        <f t="shared" si="27"/>
        <v>0</v>
      </c>
    </row>
    <row r="285" spans="2:26" x14ac:dyDescent="0.25">
      <c r="B285" s="4">
        <v>283</v>
      </c>
      <c r="C285" s="4">
        <f t="array" ref="C285">INDEX(Sheet1!$B$2:$F$22000,SMALL(IF(Sheet1!$A$2:$A$22000=$A$1,ROW(Sheet1!$B$2:$B$22000)),ROW($A283:$F283))-1,2)</f>
        <v>0</v>
      </c>
      <c r="D285" s="4">
        <f t="array" ref="D285">INDEX(Sheet1!$B$2:$F$22000,SMALL(IF(Sheet1!$A$2:$A$22000=$A$1,ROW(Sheet1!$B$2:$B$22000)),ROW($A283:$F283))-1,3)</f>
        <v>0</v>
      </c>
      <c r="E285" s="4">
        <f t="array" ref="E285">INDEX(Sheet1!$B$2:$F$22000,SMALL(IF(Sheet1!$A$2:$A$22000=$A$1,ROW(Sheet1!$B$2:$B$22000)),ROW($A283:$F283))-1,4)</f>
        <v>0</v>
      </c>
      <c r="F285" s="4">
        <f t="array" ref="F285">INDEX(Sheet1!$B$2:$F$22000,SMALL(IF(Sheet1!$A$2:$A$22000=$A$1,ROW(Sheet1!$B$2:$B$22000)),ROW($A283:$F283))-1,5)</f>
        <v>0</v>
      </c>
      <c r="M285" s="9">
        <v>283</v>
      </c>
      <c r="N285" s="10">
        <f t="shared" si="28"/>
        <v>0</v>
      </c>
      <c r="O285" s="11">
        <f t="shared" si="29"/>
        <v>0</v>
      </c>
      <c r="P285" s="12">
        <f t="shared" si="30"/>
        <v>0</v>
      </c>
      <c r="Q285" s="13">
        <f t="shared" si="31"/>
        <v>0</v>
      </c>
      <c r="V285" s="14">
        <f t="shared" si="26"/>
        <v>0.552734375</v>
      </c>
      <c r="W285" s="10">
        <f t="shared" si="32"/>
        <v>0</v>
      </c>
      <c r="X285" s="11">
        <f t="shared" si="32"/>
        <v>0</v>
      </c>
      <c r="Y285" s="12">
        <f t="shared" si="32"/>
        <v>0</v>
      </c>
      <c r="Z285" s="13">
        <f t="shared" si="27"/>
        <v>0</v>
      </c>
    </row>
    <row r="286" spans="2:26" x14ac:dyDescent="0.25">
      <c r="B286" s="4">
        <v>284</v>
      </c>
      <c r="C286" s="4">
        <f t="array" ref="C286">INDEX(Sheet1!$B$2:$F$22000,SMALL(IF(Sheet1!$A$2:$A$22000=$A$1,ROW(Sheet1!$B$2:$B$22000)),ROW($A284:$F284))-1,2)</f>
        <v>0</v>
      </c>
      <c r="D286" s="4">
        <f t="array" ref="D286">INDEX(Sheet1!$B$2:$F$22000,SMALL(IF(Sheet1!$A$2:$A$22000=$A$1,ROW(Sheet1!$B$2:$B$22000)),ROW($A284:$F284))-1,3)</f>
        <v>0</v>
      </c>
      <c r="E286" s="4">
        <f t="array" ref="E286">INDEX(Sheet1!$B$2:$F$22000,SMALL(IF(Sheet1!$A$2:$A$22000=$A$1,ROW(Sheet1!$B$2:$B$22000)),ROW($A284:$F284))-1,4)</f>
        <v>0</v>
      </c>
      <c r="F286" s="4">
        <f t="array" ref="F286">INDEX(Sheet1!$B$2:$F$22000,SMALL(IF(Sheet1!$A$2:$A$22000=$A$1,ROW(Sheet1!$B$2:$B$22000)),ROW($A284:$F284))-1,5)</f>
        <v>0</v>
      </c>
      <c r="M286" s="9">
        <v>284</v>
      </c>
      <c r="N286" s="10">
        <f t="shared" si="28"/>
        <v>0</v>
      </c>
      <c r="O286" s="11">
        <f t="shared" si="29"/>
        <v>0</v>
      </c>
      <c r="P286" s="12">
        <f t="shared" si="30"/>
        <v>0</v>
      </c>
      <c r="Q286" s="13">
        <f t="shared" si="31"/>
        <v>0</v>
      </c>
      <c r="V286" s="14">
        <f t="shared" si="26"/>
        <v>0.5546875</v>
      </c>
      <c r="W286" s="10">
        <f t="shared" si="32"/>
        <v>0</v>
      </c>
      <c r="X286" s="11">
        <f t="shared" si="32"/>
        <v>0</v>
      </c>
      <c r="Y286" s="12">
        <f t="shared" si="32"/>
        <v>0</v>
      </c>
      <c r="Z286" s="13">
        <f t="shared" si="27"/>
        <v>0</v>
      </c>
    </row>
    <row r="287" spans="2:26" x14ac:dyDescent="0.25">
      <c r="B287" s="4">
        <v>285</v>
      </c>
      <c r="C287" s="4">
        <f t="array" ref="C287">INDEX(Sheet1!$B$2:$F$22000,SMALL(IF(Sheet1!$A$2:$A$22000=$A$1,ROW(Sheet1!$B$2:$B$22000)),ROW($A285:$F285))-1,2)</f>
        <v>0</v>
      </c>
      <c r="D287" s="4">
        <f t="array" ref="D287">INDEX(Sheet1!$B$2:$F$22000,SMALL(IF(Sheet1!$A$2:$A$22000=$A$1,ROW(Sheet1!$B$2:$B$22000)),ROW($A285:$F285))-1,3)</f>
        <v>0</v>
      </c>
      <c r="E287" s="4">
        <f t="array" ref="E287">INDEX(Sheet1!$B$2:$F$22000,SMALL(IF(Sheet1!$A$2:$A$22000=$A$1,ROW(Sheet1!$B$2:$B$22000)),ROW($A285:$F285))-1,4)</f>
        <v>0</v>
      </c>
      <c r="F287" s="4">
        <f t="array" ref="F287">INDEX(Sheet1!$B$2:$F$22000,SMALL(IF(Sheet1!$A$2:$A$22000=$A$1,ROW(Sheet1!$B$2:$B$22000)),ROW($A285:$F285))-1,5)</f>
        <v>0</v>
      </c>
      <c r="M287" s="9">
        <v>285</v>
      </c>
      <c r="N287" s="10">
        <f t="shared" si="28"/>
        <v>0</v>
      </c>
      <c r="O287" s="11">
        <f t="shared" si="29"/>
        <v>0</v>
      </c>
      <c r="P287" s="12">
        <f t="shared" si="30"/>
        <v>0</v>
      </c>
      <c r="Q287" s="13">
        <f t="shared" si="31"/>
        <v>0</v>
      </c>
      <c r="V287" s="14">
        <f t="shared" si="26"/>
        <v>0.556640625</v>
      </c>
      <c r="W287" s="10">
        <f t="shared" si="32"/>
        <v>0</v>
      </c>
      <c r="X287" s="11">
        <f t="shared" si="32"/>
        <v>0</v>
      </c>
      <c r="Y287" s="12">
        <f t="shared" si="32"/>
        <v>0</v>
      </c>
      <c r="Z287" s="13">
        <f t="shared" si="27"/>
        <v>0</v>
      </c>
    </row>
    <row r="288" spans="2:26" x14ac:dyDescent="0.25">
      <c r="B288" s="4">
        <v>286</v>
      </c>
      <c r="C288" s="4">
        <f t="array" ref="C288">INDEX(Sheet1!$B$2:$F$22000,SMALL(IF(Sheet1!$A$2:$A$22000=$A$1,ROW(Sheet1!$B$2:$B$22000)),ROW($A286:$F286))-1,2)</f>
        <v>0</v>
      </c>
      <c r="D288" s="4">
        <f t="array" ref="D288">INDEX(Sheet1!$B$2:$F$22000,SMALL(IF(Sheet1!$A$2:$A$22000=$A$1,ROW(Sheet1!$B$2:$B$22000)),ROW($A286:$F286))-1,3)</f>
        <v>0</v>
      </c>
      <c r="E288" s="4">
        <f t="array" ref="E288">INDEX(Sheet1!$B$2:$F$22000,SMALL(IF(Sheet1!$A$2:$A$22000=$A$1,ROW(Sheet1!$B$2:$B$22000)),ROW($A286:$F286))-1,4)</f>
        <v>0</v>
      </c>
      <c r="F288" s="4">
        <f t="array" ref="F288">INDEX(Sheet1!$B$2:$F$22000,SMALL(IF(Sheet1!$A$2:$A$22000=$A$1,ROW(Sheet1!$B$2:$B$22000)),ROW($A286:$F286))-1,5)</f>
        <v>0</v>
      </c>
      <c r="M288" s="9">
        <v>286</v>
      </c>
      <c r="N288" s="10">
        <f t="shared" si="28"/>
        <v>0</v>
      </c>
      <c r="O288" s="11">
        <f t="shared" si="29"/>
        <v>0</v>
      </c>
      <c r="P288" s="12">
        <f t="shared" si="30"/>
        <v>0</v>
      </c>
      <c r="Q288" s="13">
        <f t="shared" si="31"/>
        <v>0</v>
      </c>
      <c r="V288" s="14">
        <f t="shared" si="26"/>
        <v>0.55859375</v>
      </c>
      <c r="W288" s="10">
        <f t="shared" si="32"/>
        <v>0</v>
      </c>
      <c r="X288" s="11">
        <f t="shared" si="32"/>
        <v>0</v>
      </c>
      <c r="Y288" s="12">
        <f t="shared" si="32"/>
        <v>0</v>
      </c>
      <c r="Z288" s="13">
        <f t="shared" si="27"/>
        <v>0</v>
      </c>
    </row>
    <row r="289" spans="2:26" x14ac:dyDescent="0.25">
      <c r="B289" s="4">
        <v>287</v>
      </c>
      <c r="C289" s="4">
        <f t="array" ref="C289">INDEX(Sheet1!$B$2:$F$22000,SMALL(IF(Sheet1!$A$2:$A$22000=$A$1,ROW(Sheet1!$B$2:$B$22000)),ROW($A287:$F287))-1,2)</f>
        <v>0</v>
      </c>
      <c r="D289" s="4">
        <f t="array" ref="D289">INDEX(Sheet1!$B$2:$F$22000,SMALL(IF(Sheet1!$A$2:$A$22000=$A$1,ROW(Sheet1!$B$2:$B$22000)),ROW($A287:$F287))-1,3)</f>
        <v>0</v>
      </c>
      <c r="E289" s="4">
        <f t="array" ref="E289">INDEX(Sheet1!$B$2:$F$22000,SMALL(IF(Sheet1!$A$2:$A$22000=$A$1,ROW(Sheet1!$B$2:$B$22000)),ROW($A287:$F287))-1,4)</f>
        <v>0</v>
      </c>
      <c r="F289" s="4">
        <f t="array" ref="F289">INDEX(Sheet1!$B$2:$F$22000,SMALL(IF(Sheet1!$A$2:$A$22000=$A$1,ROW(Sheet1!$B$2:$B$22000)),ROW($A287:$F287))-1,5)</f>
        <v>0</v>
      </c>
      <c r="M289" s="9">
        <v>287</v>
      </c>
      <c r="N289" s="10">
        <f t="shared" si="28"/>
        <v>0</v>
      </c>
      <c r="O289" s="11">
        <f t="shared" si="29"/>
        <v>0</v>
      </c>
      <c r="P289" s="12">
        <f t="shared" si="30"/>
        <v>0</v>
      </c>
      <c r="Q289" s="13">
        <f t="shared" si="31"/>
        <v>0</v>
      </c>
      <c r="V289" s="14">
        <f t="shared" si="26"/>
        <v>0.560546875</v>
      </c>
      <c r="W289" s="10">
        <f t="shared" si="32"/>
        <v>0</v>
      </c>
      <c r="X289" s="11">
        <f t="shared" si="32"/>
        <v>0</v>
      </c>
      <c r="Y289" s="12">
        <f t="shared" si="32"/>
        <v>0</v>
      </c>
      <c r="Z289" s="13">
        <f t="shared" si="27"/>
        <v>0</v>
      </c>
    </row>
    <row r="290" spans="2:26" x14ac:dyDescent="0.25">
      <c r="B290" s="4">
        <v>288</v>
      </c>
      <c r="C290" s="4">
        <f t="array" ref="C290">INDEX(Sheet1!$B$2:$F$22000,SMALL(IF(Sheet1!$A$2:$A$22000=$A$1,ROW(Sheet1!$B$2:$B$22000)),ROW($A288:$F288))-1,2)</f>
        <v>0</v>
      </c>
      <c r="D290" s="4">
        <f t="array" ref="D290">INDEX(Sheet1!$B$2:$F$22000,SMALL(IF(Sheet1!$A$2:$A$22000=$A$1,ROW(Sheet1!$B$2:$B$22000)),ROW($A288:$F288))-1,3)</f>
        <v>0</v>
      </c>
      <c r="E290" s="4">
        <f t="array" ref="E290">INDEX(Sheet1!$B$2:$F$22000,SMALL(IF(Sheet1!$A$2:$A$22000=$A$1,ROW(Sheet1!$B$2:$B$22000)),ROW($A288:$F288))-1,4)</f>
        <v>0</v>
      </c>
      <c r="F290" s="4">
        <f t="array" ref="F290">INDEX(Sheet1!$B$2:$F$22000,SMALL(IF(Sheet1!$A$2:$A$22000=$A$1,ROW(Sheet1!$B$2:$B$22000)),ROW($A288:$F288))-1,5)</f>
        <v>0</v>
      </c>
      <c r="M290" s="9">
        <v>288</v>
      </c>
      <c r="N290" s="10">
        <f t="shared" si="28"/>
        <v>0</v>
      </c>
      <c r="O290" s="11">
        <f t="shared" si="29"/>
        <v>0</v>
      </c>
      <c r="P290" s="12">
        <f t="shared" si="30"/>
        <v>0</v>
      </c>
      <c r="Q290" s="13">
        <f t="shared" si="31"/>
        <v>0</v>
      </c>
      <c r="V290" s="14">
        <f t="shared" si="26"/>
        <v>0.5625</v>
      </c>
      <c r="W290" s="10">
        <f t="shared" si="32"/>
        <v>0</v>
      </c>
      <c r="X290" s="11">
        <f t="shared" si="32"/>
        <v>0</v>
      </c>
      <c r="Y290" s="12">
        <f t="shared" si="32"/>
        <v>0</v>
      </c>
      <c r="Z290" s="13">
        <f t="shared" si="27"/>
        <v>0</v>
      </c>
    </row>
    <row r="291" spans="2:26" x14ac:dyDescent="0.25">
      <c r="B291" s="4">
        <v>289</v>
      </c>
      <c r="C291" s="4">
        <f t="array" ref="C291">INDEX(Sheet1!$B$2:$F$22000,SMALL(IF(Sheet1!$A$2:$A$22000=$A$1,ROW(Sheet1!$B$2:$B$22000)),ROW($A289:$F289))-1,2)</f>
        <v>0</v>
      </c>
      <c r="D291" s="4">
        <f t="array" ref="D291">INDEX(Sheet1!$B$2:$F$22000,SMALL(IF(Sheet1!$A$2:$A$22000=$A$1,ROW(Sheet1!$B$2:$B$22000)),ROW($A289:$F289))-1,3)</f>
        <v>0</v>
      </c>
      <c r="E291" s="4">
        <f t="array" ref="E291">INDEX(Sheet1!$B$2:$F$22000,SMALL(IF(Sheet1!$A$2:$A$22000=$A$1,ROW(Sheet1!$B$2:$B$22000)),ROW($A289:$F289))-1,4)</f>
        <v>0</v>
      </c>
      <c r="F291" s="4">
        <f t="array" ref="F291">INDEX(Sheet1!$B$2:$F$22000,SMALL(IF(Sheet1!$A$2:$A$22000=$A$1,ROW(Sheet1!$B$2:$B$22000)),ROW($A289:$F289))-1,5)</f>
        <v>0</v>
      </c>
      <c r="M291" s="9">
        <v>289</v>
      </c>
      <c r="N291" s="10">
        <f t="shared" si="28"/>
        <v>0</v>
      </c>
      <c r="O291" s="11">
        <f t="shared" si="29"/>
        <v>0</v>
      </c>
      <c r="P291" s="12">
        <f t="shared" si="30"/>
        <v>0</v>
      </c>
      <c r="Q291" s="13">
        <f t="shared" si="31"/>
        <v>0</v>
      </c>
      <c r="V291" s="14">
        <f t="shared" si="26"/>
        <v>0.564453125</v>
      </c>
      <c r="W291" s="10">
        <f t="shared" si="32"/>
        <v>0</v>
      </c>
      <c r="X291" s="11">
        <f t="shared" si="32"/>
        <v>0</v>
      </c>
      <c r="Y291" s="12">
        <f t="shared" si="32"/>
        <v>0</v>
      </c>
      <c r="Z291" s="13">
        <f t="shared" si="27"/>
        <v>0</v>
      </c>
    </row>
    <row r="292" spans="2:26" x14ac:dyDescent="0.25">
      <c r="B292" s="4">
        <v>290</v>
      </c>
      <c r="C292" s="4">
        <f t="array" ref="C292">INDEX(Sheet1!$B$2:$F$22000,SMALL(IF(Sheet1!$A$2:$A$22000=$A$1,ROW(Sheet1!$B$2:$B$22000)),ROW($A290:$F290))-1,2)</f>
        <v>0</v>
      </c>
      <c r="D292" s="4">
        <f t="array" ref="D292">INDEX(Sheet1!$B$2:$F$22000,SMALL(IF(Sheet1!$A$2:$A$22000=$A$1,ROW(Sheet1!$B$2:$B$22000)),ROW($A290:$F290))-1,3)</f>
        <v>0</v>
      </c>
      <c r="E292" s="4">
        <f t="array" ref="E292">INDEX(Sheet1!$B$2:$F$22000,SMALL(IF(Sheet1!$A$2:$A$22000=$A$1,ROW(Sheet1!$B$2:$B$22000)),ROW($A290:$F290))-1,4)</f>
        <v>0</v>
      </c>
      <c r="F292" s="4">
        <f t="array" ref="F292">INDEX(Sheet1!$B$2:$F$22000,SMALL(IF(Sheet1!$A$2:$A$22000=$A$1,ROW(Sheet1!$B$2:$B$22000)),ROW($A290:$F290))-1,5)</f>
        <v>0</v>
      </c>
      <c r="M292" s="9">
        <v>290</v>
      </c>
      <c r="N292" s="10">
        <f t="shared" si="28"/>
        <v>0</v>
      </c>
      <c r="O292" s="11">
        <f t="shared" si="29"/>
        <v>0</v>
      </c>
      <c r="P292" s="12">
        <f t="shared" si="30"/>
        <v>0</v>
      </c>
      <c r="Q292" s="13">
        <f t="shared" si="31"/>
        <v>0</v>
      </c>
      <c r="V292" s="14">
        <f t="shared" si="26"/>
        <v>0.56640625</v>
      </c>
      <c r="W292" s="10">
        <f t="shared" si="32"/>
        <v>0</v>
      </c>
      <c r="X292" s="11">
        <f t="shared" si="32"/>
        <v>0</v>
      </c>
      <c r="Y292" s="12">
        <f t="shared" si="32"/>
        <v>0</v>
      </c>
      <c r="Z292" s="13">
        <f t="shared" si="27"/>
        <v>0</v>
      </c>
    </row>
    <row r="293" spans="2:26" x14ac:dyDescent="0.25">
      <c r="B293" s="4">
        <v>291</v>
      </c>
      <c r="C293" s="4">
        <f t="array" ref="C293">INDEX(Sheet1!$B$2:$F$22000,SMALL(IF(Sheet1!$A$2:$A$22000=$A$1,ROW(Sheet1!$B$2:$B$22000)),ROW($A291:$F291))-1,2)</f>
        <v>0</v>
      </c>
      <c r="D293" s="4">
        <f t="array" ref="D293">INDEX(Sheet1!$B$2:$F$22000,SMALL(IF(Sheet1!$A$2:$A$22000=$A$1,ROW(Sheet1!$B$2:$B$22000)),ROW($A291:$F291))-1,3)</f>
        <v>0</v>
      </c>
      <c r="E293" s="4">
        <f t="array" ref="E293">INDEX(Sheet1!$B$2:$F$22000,SMALL(IF(Sheet1!$A$2:$A$22000=$A$1,ROW(Sheet1!$B$2:$B$22000)),ROW($A291:$F291))-1,4)</f>
        <v>0</v>
      </c>
      <c r="F293" s="4">
        <f t="array" ref="F293">INDEX(Sheet1!$B$2:$F$22000,SMALL(IF(Sheet1!$A$2:$A$22000=$A$1,ROW(Sheet1!$B$2:$B$22000)),ROW($A291:$F291))-1,5)</f>
        <v>0</v>
      </c>
      <c r="M293" s="9">
        <v>291</v>
      </c>
      <c r="N293" s="10">
        <f t="shared" si="28"/>
        <v>0</v>
      </c>
      <c r="O293" s="11">
        <f t="shared" si="29"/>
        <v>0</v>
      </c>
      <c r="P293" s="12">
        <f t="shared" si="30"/>
        <v>0</v>
      </c>
      <c r="Q293" s="13">
        <f t="shared" si="31"/>
        <v>0</v>
      </c>
      <c r="V293" s="14">
        <f t="shared" si="26"/>
        <v>0.568359375</v>
      </c>
      <c r="W293" s="10">
        <f t="shared" si="32"/>
        <v>0</v>
      </c>
      <c r="X293" s="11">
        <f t="shared" si="32"/>
        <v>0</v>
      </c>
      <c r="Y293" s="12">
        <f t="shared" si="32"/>
        <v>0</v>
      </c>
      <c r="Z293" s="13">
        <f t="shared" si="27"/>
        <v>0</v>
      </c>
    </row>
    <row r="294" spans="2:26" x14ac:dyDescent="0.25">
      <c r="B294" s="4">
        <v>292</v>
      </c>
      <c r="C294" s="4">
        <f t="array" ref="C294">INDEX(Sheet1!$B$2:$F$22000,SMALL(IF(Sheet1!$A$2:$A$22000=$A$1,ROW(Sheet1!$B$2:$B$22000)),ROW($A292:$F292))-1,2)</f>
        <v>0</v>
      </c>
      <c r="D294" s="4">
        <f t="array" ref="D294">INDEX(Sheet1!$B$2:$F$22000,SMALL(IF(Sheet1!$A$2:$A$22000=$A$1,ROW(Sheet1!$B$2:$B$22000)),ROW($A292:$F292))-1,3)</f>
        <v>0</v>
      </c>
      <c r="E294" s="4">
        <f t="array" ref="E294">INDEX(Sheet1!$B$2:$F$22000,SMALL(IF(Sheet1!$A$2:$A$22000=$A$1,ROW(Sheet1!$B$2:$B$22000)),ROW($A292:$F292))-1,4)</f>
        <v>0</v>
      </c>
      <c r="F294" s="4">
        <f t="array" ref="F294">INDEX(Sheet1!$B$2:$F$22000,SMALL(IF(Sheet1!$A$2:$A$22000=$A$1,ROW(Sheet1!$B$2:$B$22000)),ROW($A292:$F292))-1,5)</f>
        <v>0</v>
      </c>
      <c r="M294" s="9">
        <v>292</v>
      </c>
      <c r="N294" s="10">
        <f t="shared" si="28"/>
        <v>0</v>
      </c>
      <c r="O294" s="11">
        <f t="shared" si="29"/>
        <v>0</v>
      </c>
      <c r="P294" s="12">
        <f t="shared" si="30"/>
        <v>0</v>
      </c>
      <c r="Q294" s="13">
        <f t="shared" si="31"/>
        <v>0</v>
      </c>
      <c r="V294" s="14">
        <f t="shared" si="26"/>
        <v>0.5703125</v>
      </c>
      <c r="W294" s="10">
        <f t="shared" si="32"/>
        <v>0</v>
      </c>
      <c r="X294" s="11">
        <f t="shared" si="32"/>
        <v>0</v>
      </c>
      <c r="Y294" s="12">
        <f t="shared" si="32"/>
        <v>0</v>
      </c>
      <c r="Z294" s="13">
        <f t="shared" si="27"/>
        <v>0</v>
      </c>
    </row>
    <row r="295" spans="2:26" x14ac:dyDescent="0.25">
      <c r="B295" s="4">
        <v>293</v>
      </c>
      <c r="C295" s="4">
        <f t="array" ref="C295">INDEX(Sheet1!$B$2:$F$22000,SMALL(IF(Sheet1!$A$2:$A$22000=$A$1,ROW(Sheet1!$B$2:$B$22000)),ROW($A293:$F293))-1,2)</f>
        <v>0</v>
      </c>
      <c r="D295" s="4">
        <f t="array" ref="D295">INDEX(Sheet1!$B$2:$F$22000,SMALL(IF(Sheet1!$A$2:$A$22000=$A$1,ROW(Sheet1!$B$2:$B$22000)),ROW($A293:$F293))-1,3)</f>
        <v>0</v>
      </c>
      <c r="E295" s="4">
        <f t="array" ref="E295">INDEX(Sheet1!$B$2:$F$22000,SMALL(IF(Sheet1!$A$2:$A$22000=$A$1,ROW(Sheet1!$B$2:$B$22000)),ROW($A293:$F293))-1,4)</f>
        <v>0</v>
      </c>
      <c r="F295" s="4">
        <f t="array" ref="F295">INDEX(Sheet1!$B$2:$F$22000,SMALL(IF(Sheet1!$A$2:$A$22000=$A$1,ROW(Sheet1!$B$2:$B$22000)),ROW($A293:$F293))-1,5)</f>
        <v>0</v>
      </c>
      <c r="M295" s="9">
        <v>293</v>
      </c>
      <c r="N295" s="10">
        <f t="shared" si="28"/>
        <v>0</v>
      </c>
      <c r="O295" s="11">
        <f t="shared" si="29"/>
        <v>0</v>
      </c>
      <c r="P295" s="12">
        <f t="shared" si="30"/>
        <v>0</v>
      </c>
      <c r="Q295" s="13">
        <f t="shared" si="31"/>
        <v>0</v>
      </c>
      <c r="V295" s="14">
        <f t="shared" si="26"/>
        <v>0.572265625</v>
      </c>
      <c r="W295" s="10">
        <f t="shared" si="32"/>
        <v>0</v>
      </c>
      <c r="X295" s="11">
        <f t="shared" si="32"/>
        <v>0</v>
      </c>
      <c r="Y295" s="12">
        <f t="shared" si="32"/>
        <v>0</v>
      </c>
      <c r="Z295" s="13">
        <f t="shared" si="27"/>
        <v>0</v>
      </c>
    </row>
    <row r="296" spans="2:26" x14ac:dyDescent="0.25">
      <c r="B296" s="4">
        <v>294</v>
      </c>
      <c r="C296" s="4">
        <f t="array" ref="C296">INDEX(Sheet1!$B$2:$F$22000,SMALL(IF(Sheet1!$A$2:$A$22000=$A$1,ROW(Sheet1!$B$2:$B$22000)),ROW($A294:$F294))-1,2)</f>
        <v>0</v>
      </c>
      <c r="D296" s="4">
        <f t="array" ref="D296">INDEX(Sheet1!$B$2:$F$22000,SMALL(IF(Sheet1!$A$2:$A$22000=$A$1,ROW(Sheet1!$B$2:$B$22000)),ROW($A294:$F294))-1,3)</f>
        <v>0</v>
      </c>
      <c r="E296" s="4">
        <f t="array" ref="E296">INDEX(Sheet1!$B$2:$F$22000,SMALL(IF(Sheet1!$A$2:$A$22000=$A$1,ROW(Sheet1!$B$2:$B$22000)),ROW($A294:$F294))-1,4)</f>
        <v>0</v>
      </c>
      <c r="F296" s="4">
        <f t="array" ref="F296">INDEX(Sheet1!$B$2:$F$22000,SMALL(IF(Sheet1!$A$2:$A$22000=$A$1,ROW(Sheet1!$B$2:$B$22000)),ROW($A294:$F294))-1,5)</f>
        <v>0</v>
      </c>
      <c r="M296" s="9">
        <v>294</v>
      </c>
      <c r="N296" s="10">
        <f t="shared" si="28"/>
        <v>0</v>
      </c>
      <c r="O296" s="11">
        <f t="shared" si="29"/>
        <v>0</v>
      </c>
      <c r="P296" s="12">
        <f t="shared" si="30"/>
        <v>0</v>
      </c>
      <c r="Q296" s="13">
        <f t="shared" si="31"/>
        <v>0</v>
      </c>
      <c r="V296" s="14">
        <f t="shared" si="26"/>
        <v>0.57421875</v>
      </c>
      <c r="W296" s="10">
        <f t="shared" si="32"/>
        <v>0</v>
      </c>
      <c r="X296" s="11">
        <f t="shared" si="32"/>
        <v>0</v>
      </c>
      <c r="Y296" s="12">
        <f t="shared" si="32"/>
        <v>0</v>
      </c>
      <c r="Z296" s="13">
        <f t="shared" si="27"/>
        <v>0</v>
      </c>
    </row>
    <row r="297" spans="2:26" x14ac:dyDescent="0.25">
      <c r="B297" s="4">
        <v>295</v>
      </c>
      <c r="C297" s="4">
        <f t="array" ref="C297">INDEX(Sheet1!$B$2:$F$22000,SMALL(IF(Sheet1!$A$2:$A$22000=$A$1,ROW(Sheet1!$B$2:$B$22000)),ROW($A295:$F295))-1,2)</f>
        <v>0</v>
      </c>
      <c r="D297" s="4">
        <f t="array" ref="D297">INDEX(Sheet1!$B$2:$F$22000,SMALL(IF(Sheet1!$A$2:$A$22000=$A$1,ROW(Sheet1!$B$2:$B$22000)),ROW($A295:$F295))-1,3)</f>
        <v>0</v>
      </c>
      <c r="E297" s="4">
        <f t="array" ref="E297">INDEX(Sheet1!$B$2:$F$22000,SMALL(IF(Sheet1!$A$2:$A$22000=$A$1,ROW(Sheet1!$B$2:$B$22000)),ROW($A295:$F295))-1,4)</f>
        <v>0</v>
      </c>
      <c r="F297" s="4">
        <f t="array" ref="F297">INDEX(Sheet1!$B$2:$F$22000,SMALL(IF(Sheet1!$A$2:$A$22000=$A$1,ROW(Sheet1!$B$2:$B$22000)),ROW($A295:$F295))-1,5)</f>
        <v>0</v>
      </c>
      <c r="M297" s="9">
        <v>295</v>
      </c>
      <c r="N297" s="10">
        <f t="shared" si="28"/>
        <v>0</v>
      </c>
      <c r="O297" s="11">
        <f t="shared" si="29"/>
        <v>0</v>
      </c>
      <c r="P297" s="12">
        <f t="shared" si="30"/>
        <v>0</v>
      </c>
      <c r="Q297" s="13">
        <f t="shared" si="31"/>
        <v>0</v>
      </c>
      <c r="V297" s="14">
        <f t="shared" si="26"/>
        <v>0.576171875</v>
      </c>
      <c r="W297" s="10">
        <f t="shared" si="32"/>
        <v>0</v>
      </c>
      <c r="X297" s="11">
        <f t="shared" si="32"/>
        <v>0</v>
      </c>
      <c r="Y297" s="12">
        <f t="shared" si="32"/>
        <v>0</v>
      </c>
      <c r="Z297" s="13">
        <f t="shared" si="27"/>
        <v>0</v>
      </c>
    </row>
    <row r="298" spans="2:26" x14ac:dyDescent="0.25">
      <c r="B298" s="4">
        <v>296</v>
      </c>
      <c r="C298" s="4">
        <f t="array" ref="C298">INDEX(Sheet1!$B$2:$F$22000,SMALL(IF(Sheet1!$A$2:$A$22000=$A$1,ROW(Sheet1!$B$2:$B$22000)),ROW($A296:$F296))-1,2)</f>
        <v>0</v>
      </c>
      <c r="D298" s="4">
        <f t="array" ref="D298">INDEX(Sheet1!$B$2:$F$22000,SMALL(IF(Sheet1!$A$2:$A$22000=$A$1,ROW(Sheet1!$B$2:$B$22000)),ROW($A296:$F296))-1,3)</f>
        <v>0</v>
      </c>
      <c r="E298" s="4">
        <f t="array" ref="E298">INDEX(Sheet1!$B$2:$F$22000,SMALL(IF(Sheet1!$A$2:$A$22000=$A$1,ROW(Sheet1!$B$2:$B$22000)),ROW($A296:$F296))-1,4)</f>
        <v>0</v>
      </c>
      <c r="F298" s="4">
        <f t="array" ref="F298">INDEX(Sheet1!$B$2:$F$22000,SMALL(IF(Sheet1!$A$2:$A$22000=$A$1,ROW(Sheet1!$B$2:$B$22000)),ROW($A296:$F296))-1,5)</f>
        <v>0</v>
      </c>
      <c r="M298" s="9">
        <v>296</v>
      </c>
      <c r="N298" s="10">
        <f t="shared" si="28"/>
        <v>0</v>
      </c>
      <c r="O298" s="11">
        <f t="shared" si="29"/>
        <v>0</v>
      </c>
      <c r="P298" s="12">
        <f t="shared" si="30"/>
        <v>0</v>
      </c>
      <c r="Q298" s="13">
        <f t="shared" si="31"/>
        <v>0</v>
      </c>
      <c r="V298" s="14">
        <f t="shared" si="26"/>
        <v>0.578125</v>
      </c>
      <c r="W298" s="10">
        <f t="shared" si="32"/>
        <v>0</v>
      </c>
      <c r="X298" s="11">
        <f t="shared" si="32"/>
        <v>0</v>
      </c>
      <c r="Y298" s="12">
        <f t="shared" si="32"/>
        <v>0</v>
      </c>
      <c r="Z298" s="13">
        <f t="shared" si="27"/>
        <v>0</v>
      </c>
    </row>
    <row r="299" spans="2:26" x14ac:dyDescent="0.25">
      <c r="B299" s="4">
        <v>297</v>
      </c>
      <c r="C299" s="4">
        <f t="array" ref="C299">INDEX(Sheet1!$B$2:$F$22000,SMALL(IF(Sheet1!$A$2:$A$22000=$A$1,ROW(Sheet1!$B$2:$B$22000)),ROW($A297:$F297))-1,2)</f>
        <v>0</v>
      </c>
      <c r="D299" s="4">
        <f t="array" ref="D299">INDEX(Sheet1!$B$2:$F$22000,SMALL(IF(Sheet1!$A$2:$A$22000=$A$1,ROW(Sheet1!$B$2:$B$22000)),ROW($A297:$F297))-1,3)</f>
        <v>0</v>
      </c>
      <c r="E299" s="4">
        <f t="array" ref="E299">INDEX(Sheet1!$B$2:$F$22000,SMALL(IF(Sheet1!$A$2:$A$22000=$A$1,ROW(Sheet1!$B$2:$B$22000)),ROW($A297:$F297))-1,4)</f>
        <v>0</v>
      </c>
      <c r="F299" s="4">
        <f t="array" ref="F299">INDEX(Sheet1!$B$2:$F$22000,SMALL(IF(Sheet1!$A$2:$A$22000=$A$1,ROW(Sheet1!$B$2:$B$22000)),ROW($A297:$F297))-1,5)</f>
        <v>0</v>
      </c>
      <c r="M299" s="9">
        <v>297</v>
      </c>
      <c r="N299" s="10">
        <f t="shared" si="28"/>
        <v>0</v>
      </c>
      <c r="O299" s="11">
        <f t="shared" si="29"/>
        <v>0</v>
      </c>
      <c r="P299" s="12">
        <f t="shared" si="30"/>
        <v>0</v>
      </c>
      <c r="Q299" s="13">
        <f t="shared" si="31"/>
        <v>0</v>
      </c>
      <c r="V299" s="14">
        <f t="shared" si="26"/>
        <v>0.580078125</v>
      </c>
      <c r="W299" s="10">
        <f t="shared" si="32"/>
        <v>0</v>
      </c>
      <c r="X299" s="11">
        <f t="shared" si="32"/>
        <v>0</v>
      </c>
      <c r="Y299" s="12">
        <f t="shared" si="32"/>
        <v>0</v>
      </c>
      <c r="Z299" s="13">
        <f t="shared" si="27"/>
        <v>0</v>
      </c>
    </row>
    <row r="300" spans="2:26" x14ac:dyDescent="0.25">
      <c r="B300" s="4">
        <v>298</v>
      </c>
      <c r="C300" s="4">
        <f t="array" ref="C300">INDEX(Sheet1!$B$2:$F$22000,SMALL(IF(Sheet1!$A$2:$A$22000=$A$1,ROW(Sheet1!$B$2:$B$22000)),ROW($A298:$F298))-1,2)</f>
        <v>0</v>
      </c>
      <c r="D300" s="4">
        <f t="array" ref="D300">INDEX(Sheet1!$B$2:$F$22000,SMALL(IF(Sheet1!$A$2:$A$22000=$A$1,ROW(Sheet1!$B$2:$B$22000)),ROW($A298:$F298))-1,3)</f>
        <v>0</v>
      </c>
      <c r="E300" s="4">
        <f t="array" ref="E300">INDEX(Sheet1!$B$2:$F$22000,SMALL(IF(Sheet1!$A$2:$A$22000=$A$1,ROW(Sheet1!$B$2:$B$22000)),ROW($A298:$F298))-1,4)</f>
        <v>0</v>
      </c>
      <c r="F300" s="4">
        <f t="array" ref="F300">INDEX(Sheet1!$B$2:$F$22000,SMALL(IF(Sheet1!$A$2:$A$22000=$A$1,ROW(Sheet1!$B$2:$B$22000)),ROW($A298:$F298))-1,5)</f>
        <v>0</v>
      </c>
      <c r="M300" s="9">
        <v>298</v>
      </c>
      <c r="N300" s="10">
        <f t="shared" si="28"/>
        <v>0</v>
      </c>
      <c r="O300" s="11">
        <f t="shared" si="29"/>
        <v>0</v>
      </c>
      <c r="P300" s="12">
        <f t="shared" si="30"/>
        <v>0</v>
      </c>
      <c r="Q300" s="13">
        <f t="shared" si="31"/>
        <v>0</v>
      </c>
      <c r="V300" s="14">
        <f t="shared" si="26"/>
        <v>0.58203125</v>
      </c>
      <c r="W300" s="10">
        <f t="shared" si="32"/>
        <v>0</v>
      </c>
      <c r="X300" s="11">
        <f t="shared" si="32"/>
        <v>0</v>
      </c>
      <c r="Y300" s="12">
        <f t="shared" si="32"/>
        <v>0</v>
      </c>
      <c r="Z300" s="13">
        <f t="shared" si="27"/>
        <v>0</v>
      </c>
    </row>
    <row r="301" spans="2:26" x14ac:dyDescent="0.25">
      <c r="B301" s="4">
        <v>299</v>
      </c>
      <c r="C301" s="4">
        <f t="array" ref="C301">INDEX(Sheet1!$B$2:$F$22000,SMALL(IF(Sheet1!$A$2:$A$22000=$A$1,ROW(Sheet1!$B$2:$B$22000)),ROW($A299:$F299))-1,2)</f>
        <v>0</v>
      </c>
      <c r="D301" s="4">
        <f t="array" ref="D301">INDEX(Sheet1!$B$2:$F$22000,SMALL(IF(Sheet1!$A$2:$A$22000=$A$1,ROW(Sheet1!$B$2:$B$22000)),ROW($A299:$F299))-1,3)</f>
        <v>0</v>
      </c>
      <c r="E301" s="4">
        <f t="array" ref="E301">INDEX(Sheet1!$B$2:$F$22000,SMALL(IF(Sheet1!$A$2:$A$22000=$A$1,ROW(Sheet1!$B$2:$B$22000)),ROW($A299:$F299))-1,4)</f>
        <v>0</v>
      </c>
      <c r="F301" s="4">
        <f t="array" ref="F301">INDEX(Sheet1!$B$2:$F$22000,SMALL(IF(Sheet1!$A$2:$A$22000=$A$1,ROW(Sheet1!$B$2:$B$22000)),ROW($A299:$F299))-1,5)</f>
        <v>0</v>
      </c>
      <c r="M301" s="9">
        <v>299</v>
      </c>
      <c r="N301" s="10">
        <f t="shared" si="28"/>
        <v>0</v>
      </c>
      <c r="O301" s="11">
        <f t="shared" si="29"/>
        <v>0</v>
      </c>
      <c r="P301" s="12">
        <f t="shared" si="30"/>
        <v>0</v>
      </c>
      <c r="Q301" s="13">
        <f t="shared" si="31"/>
        <v>0</v>
      </c>
      <c r="V301" s="14">
        <f t="shared" si="26"/>
        <v>0.583984375</v>
      </c>
      <c r="W301" s="10">
        <f t="shared" si="32"/>
        <v>0</v>
      </c>
      <c r="X301" s="11">
        <f t="shared" si="32"/>
        <v>0</v>
      </c>
      <c r="Y301" s="12">
        <f t="shared" si="32"/>
        <v>0</v>
      </c>
      <c r="Z301" s="13">
        <f t="shared" si="27"/>
        <v>0</v>
      </c>
    </row>
    <row r="302" spans="2:26" x14ac:dyDescent="0.25">
      <c r="B302" s="4">
        <v>300</v>
      </c>
      <c r="C302" s="4">
        <f t="array" ref="C302">INDEX(Sheet1!$B$2:$F$22000,SMALL(IF(Sheet1!$A$2:$A$22000=$A$1,ROW(Sheet1!$B$2:$B$22000)),ROW($A300:$F300))-1,2)</f>
        <v>0</v>
      </c>
      <c r="D302" s="4">
        <f t="array" ref="D302">INDEX(Sheet1!$B$2:$F$22000,SMALL(IF(Sheet1!$A$2:$A$22000=$A$1,ROW(Sheet1!$B$2:$B$22000)),ROW($A300:$F300))-1,3)</f>
        <v>0</v>
      </c>
      <c r="E302" s="4">
        <f t="array" ref="E302">INDEX(Sheet1!$B$2:$F$22000,SMALL(IF(Sheet1!$A$2:$A$22000=$A$1,ROW(Sheet1!$B$2:$B$22000)),ROW($A300:$F300))-1,4)</f>
        <v>0</v>
      </c>
      <c r="F302" s="4">
        <f t="array" ref="F302">INDEX(Sheet1!$B$2:$F$22000,SMALL(IF(Sheet1!$A$2:$A$22000=$A$1,ROW(Sheet1!$B$2:$B$22000)),ROW($A300:$F300))-1,5)</f>
        <v>0</v>
      </c>
      <c r="M302" s="9">
        <v>300</v>
      </c>
      <c r="N302" s="10">
        <f t="shared" si="28"/>
        <v>0</v>
      </c>
      <c r="O302" s="11">
        <f t="shared" si="29"/>
        <v>0</v>
      </c>
      <c r="P302" s="12">
        <f t="shared" si="30"/>
        <v>0</v>
      </c>
      <c r="Q302" s="13">
        <f t="shared" si="31"/>
        <v>0</v>
      </c>
      <c r="V302" s="14">
        <f t="shared" si="26"/>
        <v>0.5859375</v>
      </c>
      <c r="W302" s="10">
        <f t="shared" si="32"/>
        <v>0</v>
      </c>
      <c r="X302" s="11">
        <f t="shared" si="32"/>
        <v>0</v>
      </c>
      <c r="Y302" s="12">
        <f t="shared" si="32"/>
        <v>0</v>
      </c>
      <c r="Z302" s="13">
        <f t="shared" si="27"/>
        <v>0</v>
      </c>
    </row>
    <row r="303" spans="2:26" x14ac:dyDescent="0.25">
      <c r="B303" s="4">
        <v>301</v>
      </c>
      <c r="C303" s="4">
        <f t="array" ref="C303">INDEX(Sheet1!$B$2:$F$22000,SMALL(IF(Sheet1!$A$2:$A$22000=$A$1,ROW(Sheet1!$B$2:$B$22000)),ROW($A301:$F301))-1,2)</f>
        <v>0</v>
      </c>
      <c r="D303" s="4">
        <f t="array" ref="D303">INDEX(Sheet1!$B$2:$F$22000,SMALL(IF(Sheet1!$A$2:$A$22000=$A$1,ROW(Sheet1!$B$2:$B$22000)),ROW($A301:$F301))-1,3)</f>
        <v>0</v>
      </c>
      <c r="E303" s="4">
        <f t="array" ref="E303">INDEX(Sheet1!$B$2:$F$22000,SMALL(IF(Sheet1!$A$2:$A$22000=$A$1,ROW(Sheet1!$B$2:$B$22000)),ROW($A301:$F301))-1,4)</f>
        <v>0</v>
      </c>
      <c r="F303" s="4">
        <f t="array" ref="F303">INDEX(Sheet1!$B$2:$F$22000,SMALL(IF(Sheet1!$A$2:$A$22000=$A$1,ROW(Sheet1!$B$2:$B$22000)),ROW($A301:$F301))-1,5)</f>
        <v>0</v>
      </c>
      <c r="M303" s="9">
        <v>301</v>
      </c>
      <c r="N303" s="10">
        <f t="shared" si="28"/>
        <v>0</v>
      </c>
      <c r="O303" s="11">
        <f t="shared" si="29"/>
        <v>0</v>
      </c>
      <c r="P303" s="12">
        <f t="shared" si="30"/>
        <v>0</v>
      </c>
      <c r="Q303" s="13">
        <f t="shared" si="31"/>
        <v>0</v>
      </c>
      <c r="V303" s="14">
        <f t="shared" si="26"/>
        <v>0.587890625</v>
      </c>
      <c r="W303" s="10">
        <f t="shared" si="32"/>
        <v>0</v>
      </c>
      <c r="X303" s="11">
        <f t="shared" si="32"/>
        <v>0</v>
      </c>
      <c r="Y303" s="12">
        <f t="shared" si="32"/>
        <v>0</v>
      </c>
      <c r="Z303" s="13">
        <f t="shared" si="27"/>
        <v>0</v>
      </c>
    </row>
    <row r="304" spans="2:26" x14ac:dyDescent="0.25">
      <c r="B304" s="4">
        <v>302</v>
      </c>
      <c r="C304" s="4">
        <f t="array" ref="C304">INDEX(Sheet1!$B$2:$F$22000,SMALL(IF(Sheet1!$A$2:$A$22000=$A$1,ROW(Sheet1!$B$2:$B$22000)),ROW($A302:$F302))-1,2)</f>
        <v>0</v>
      </c>
      <c r="D304" s="4">
        <f t="array" ref="D304">INDEX(Sheet1!$B$2:$F$22000,SMALL(IF(Sheet1!$A$2:$A$22000=$A$1,ROW(Sheet1!$B$2:$B$22000)),ROW($A302:$F302))-1,3)</f>
        <v>0</v>
      </c>
      <c r="E304" s="4">
        <f t="array" ref="E304">INDEX(Sheet1!$B$2:$F$22000,SMALL(IF(Sheet1!$A$2:$A$22000=$A$1,ROW(Sheet1!$B$2:$B$22000)),ROW($A302:$F302))-1,4)</f>
        <v>0</v>
      </c>
      <c r="F304" s="4">
        <f t="array" ref="F304">INDEX(Sheet1!$B$2:$F$22000,SMALL(IF(Sheet1!$A$2:$A$22000=$A$1,ROW(Sheet1!$B$2:$B$22000)),ROW($A302:$F302))-1,5)</f>
        <v>0</v>
      </c>
      <c r="M304" s="9">
        <v>302</v>
      </c>
      <c r="N304" s="10">
        <f t="shared" si="28"/>
        <v>0</v>
      </c>
      <c r="O304" s="11">
        <f t="shared" si="29"/>
        <v>0</v>
      </c>
      <c r="P304" s="12">
        <f t="shared" si="30"/>
        <v>0</v>
      </c>
      <c r="Q304" s="13">
        <f t="shared" si="31"/>
        <v>0</v>
      </c>
      <c r="V304" s="14">
        <f t="shared" si="26"/>
        <v>0.58984375</v>
      </c>
      <c r="W304" s="10">
        <f t="shared" si="32"/>
        <v>0</v>
      </c>
      <c r="X304" s="11">
        <f t="shared" si="32"/>
        <v>0</v>
      </c>
      <c r="Y304" s="12">
        <f t="shared" si="32"/>
        <v>0</v>
      </c>
      <c r="Z304" s="13">
        <f t="shared" si="27"/>
        <v>0</v>
      </c>
    </row>
    <row r="305" spans="2:26" x14ac:dyDescent="0.25">
      <c r="B305" s="4">
        <v>303</v>
      </c>
      <c r="C305" s="4">
        <f t="array" ref="C305">INDEX(Sheet1!$B$2:$F$22000,SMALL(IF(Sheet1!$A$2:$A$22000=$A$1,ROW(Sheet1!$B$2:$B$22000)),ROW($A303:$F303))-1,2)</f>
        <v>0</v>
      </c>
      <c r="D305" s="4">
        <f t="array" ref="D305">INDEX(Sheet1!$B$2:$F$22000,SMALL(IF(Sheet1!$A$2:$A$22000=$A$1,ROW(Sheet1!$B$2:$B$22000)),ROW($A303:$F303))-1,3)</f>
        <v>0</v>
      </c>
      <c r="E305" s="4">
        <f t="array" ref="E305">INDEX(Sheet1!$B$2:$F$22000,SMALL(IF(Sheet1!$A$2:$A$22000=$A$1,ROW(Sheet1!$B$2:$B$22000)),ROW($A303:$F303))-1,4)</f>
        <v>0</v>
      </c>
      <c r="F305" s="4">
        <f t="array" ref="F305">INDEX(Sheet1!$B$2:$F$22000,SMALL(IF(Sheet1!$A$2:$A$22000=$A$1,ROW(Sheet1!$B$2:$B$22000)),ROW($A303:$F303))-1,5)</f>
        <v>0</v>
      </c>
      <c r="M305" s="9">
        <v>303</v>
      </c>
      <c r="N305" s="10">
        <f t="shared" si="28"/>
        <v>0</v>
      </c>
      <c r="O305" s="11">
        <f t="shared" si="29"/>
        <v>0</v>
      </c>
      <c r="P305" s="12">
        <f t="shared" si="30"/>
        <v>0</v>
      </c>
      <c r="Q305" s="13">
        <f t="shared" si="31"/>
        <v>0</v>
      </c>
      <c r="V305" s="14">
        <f t="shared" si="26"/>
        <v>0.591796875</v>
      </c>
      <c r="W305" s="10">
        <f t="shared" si="32"/>
        <v>0</v>
      </c>
      <c r="X305" s="11">
        <f t="shared" si="32"/>
        <v>0</v>
      </c>
      <c r="Y305" s="12">
        <f t="shared" si="32"/>
        <v>0</v>
      </c>
      <c r="Z305" s="13">
        <f t="shared" si="27"/>
        <v>0</v>
      </c>
    </row>
    <row r="306" spans="2:26" x14ac:dyDescent="0.25">
      <c r="B306" s="4">
        <v>304</v>
      </c>
      <c r="C306" s="4">
        <f t="array" ref="C306">INDEX(Sheet1!$B$2:$F$22000,SMALL(IF(Sheet1!$A$2:$A$22000=$A$1,ROW(Sheet1!$B$2:$B$22000)),ROW($A304:$F304))-1,2)</f>
        <v>0</v>
      </c>
      <c r="D306" s="4">
        <f t="array" ref="D306">INDEX(Sheet1!$B$2:$F$22000,SMALL(IF(Sheet1!$A$2:$A$22000=$A$1,ROW(Sheet1!$B$2:$B$22000)),ROW($A304:$F304))-1,3)</f>
        <v>0</v>
      </c>
      <c r="E306" s="4">
        <f t="array" ref="E306">INDEX(Sheet1!$B$2:$F$22000,SMALL(IF(Sheet1!$A$2:$A$22000=$A$1,ROW(Sheet1!$B$2:$B$22000)),ROW($A304:$F304))-1,4)</f>
        <v>0</v>
      </c>
      <c r="F306" s="4">
        <f t="array" ref="F306">INDEX(Sheet1!$B$2:$F$22000,SMALL(IF(Sheet1!$A$2:$A$22000=$A$1,ROW(Sheet1!$B$2:$B$22000)),ROW($A304:$F304))-1,5)</f>
        <v>0</v>
      </c>
      <c r="M306" s="9">
        <v>304</v>
      </c>
      <c r="N306" s="10">
        <f t="shared" si="28"/>
        <v>0</v>
      </c>
      <c r="O306" s="11">
        <f t="shared" si="29"/>
        <v>0</v>
      </c>
      <c r="P306" s="12">
        <f t="shared" si="30"/>
        <v>0</v>
      </c>
      <c r="Q306" s="13">
        <f t="shared" si="31"/>
        <v>0</v>
      </c>
      <c r="V306" s="14">
        <f t="shared" si="26"/>
        <v>0.59375</v>
      </c>
      <c r="W306" s="10">
        <f t="shared" si="32"/>
        <v>0</v>
      </c>
      <c r="X306" s="11">
        <f t="shared" si="32"/>
        <v>0</v>
      </c>
      <c r="Y306" s="12">
        <f t="shared" si="32"/>
        <v>0</v>
      </c>
      <c r="Z306" s="13">
        <f t="shared" si="27"/>
        <v>0</v>
      </c>
    </row>
    <row r="307" spans="2:26" x14ac:dyDescent="0.25">
      <c r="B307" s="4">
        <v>305</v>
      </c>
      <c r="C307" s="4">
        <f t="array" ref="C307">INDEX(Sheet1!$B$2:$F$22000,SMALL(IF(Sheet1!$A$2:$A$22000=$A$1,ROW(Sheet1!$B$2:$B$22000)),ROW($A305:$F305))-1,2)</f>
        <v>0</v>
      </c>
      <c r="D307" s="4">
        <f t="array" ref="D307">INDEX(Sheet1!$B$2:$F$22000,SMALL(IF(Sheet1!$A$2:$A$22000=$A$1,ROW(Sheet1!$B$2:$B$22000)),ROW($A305:$F305))-1,3)</f>
        <v>0</v>
      </c>
      <c r="E307" s="4">
        <f t="array" ref="E307">INDEX(Sheet1!$B$2:$F$22000,SMALL(IF(Sheet1!$A$2:$A$22000=$A$1,ROW(Sheet1!$B$2:$B$22000)),ROW($A305:$F305))-1,4)</f>
        <v>0</v>
      </c>
      <c r="F307" s="4">
        <f t="array" ref="F307">INDEX(Sheet1!$B$2:$F$22000,SMALL(IF(Sheet1!$A$2:$A$22000=$A$1,ROW(Sheet1!$B$2:$B$22000)),ROW($A305:$F305))-1,5)</f>
        <v>0</v>
      </c>
      <c r="M307" s="9">
        <v>305</v>
      </c>
      <c r="N307" s="10">
        <f t="shared" si="28"/>
        <v>0</v>
      </c>
      <c r="O307" s="11">
        <f t="shared" si="29"/>
        <v>0</v>
      </c>
      <c r="P307" s="12">
        <f t="shared" si="30"/>
        <v>0</v>
      </c>
      <c r="Q307" s="13">
        <f t="shared" si="31"/>
        <v>0</v>
      </c>
      <c r="V307" s="14">
        <f t="shared" si="26"/>
        <v>0.595703125</v>
      </c>
      <c r="W307" s="10">
        <f t="shared" si="32"/>
        <v>0</v>
      </c>
      <c r="X307" s="11">
        <f t="shared" si="32"/>
        <v>0</v>
      </c>
      <c r="Y307" s="12">
        <f t="shared" si="32"/>
        <v>0</v>
      </c>
      <c r="Z307" s="13">
        <f t="shared" si="27"/>
        <v>0</v>
      </c>
    </row>
    <row r="308" spans="2:26" x14ac:dyDescent="0.25">
      <c r="B308" s="4">
        <v>306</v>
      </c>
      <c r="C308" s="4">
        <f t="array" ref="C308">INDEX(Sheet1!$B$2:$F$22000,SMALL(IF(Sheet1!$A$2:$A$22000=$A$1,ROW(Sheet1!$B$2:$B$22000)),ROW($A306:$F306))-1,2)</f>
        <v>0</v>
      </c>
      <c r="D308" s="4">
        <f t="array" ref="D308">INDEX(Sheet1!$B$2:$F$22000,SMALL(IF(Sheet1!$A$2:$A$22000=$A$1,ROW(Sheet1!$B$2:$B$22000)),ROW($A306:$F306))-1,3)</f>
        <v>0</v>
      </c>
      <c r="E308" s="4">
        <f t="array" ref="E308">INDEX(Sheet1!$B$2:$F$22000,SMALL(IF(Sheet1!$A$2:$A$22000=$A$1,ROW(Sheet1!$B$2:$B$22000)),ROW($A306:$F306))-1,4)</f>
        <v>0</v>
      </c>
      <c r="F308" s="4">
        <f t="array" ref="F308">INDEX(Sheet1!$B$2:$F$22000,SMALL(IF(Sheet1!$A$2:$A$22000=$A$1,ROW(Sheet1!$B$2:$B$22000)),ROW($A306:$F306))-1,5)</f>
        <v>0</v>
      </c>
      <c r="M308" s="9">
        <v>306</v>
      </c>
      <c r="N308" s="10">
        <f t="shared" si="28"/>
        <v>0</v>
      </c>
      <c r="O308" s="11">
        <f t="shared" si="29"/>
        <v>0</v>
      </c>
      <c r="P308" s="12">
        <f t="shared" si="30"/>
        <v>0</v>
      </c>
      <c r="Q308" s="13">
        <f t="shared" si="31"/>
        <v>0</v>
      </c>
      <c r="V308" s="14">
        <f t="shared" si="26"/>
        <v>0.59765625</v>
      </c>
      <c r="W308" s="10">
        <f t="shared" si="32"/>
        <v>0</v>
      </c>
      <c r="X308" s="11">
        <f t="shared" si="32"/>
        <v>0</v>
      </c>
      <c r="Y308" s="12">
        <f t="shared" si="32"/>
        <v>0</v>
      </c>
      <c r="Z308" s="13">
        <f t="shared" si="27"/>
        <v>0</v>
      </c>
    </row>
    <row r="309" spans="2:26" x14ac:dyDescent="0.25">
      <c r="B309" s="4">
        <v>307</v>
      </c>
      <c r="C309" s="4">
        <f t="array" ref="C309">INDEX(Sheet1!$B$2:$F$22000,SMALL(IF(Sheet1!$A$2:$A$22000=$A$1,ROW(Sheet1!$B$2:$B$22000)),ROW($A307:$F307))-1,2)</f>
        <v>0</v>
      </c>
      <c r="D309" s="4">
        <f t="array" ref="D309">INDEX(Sheet1!$B$2:$F$22000,SMALL(IF(Sheet1!$A$2:$A$22000=$A$1,ROW(Sheet1!$B$2:$B$22000)),ROW($A307:$F307))-1,3)</f>
        <v>0</v>
      </c>
      <c r="E309" s="4">
        <f t="array" ref="E309">INDEX(Sheet1!$B$2:$F$22000,SMALL(IF(Sheet1!$A$2:$A$22000=$A$1,ROW(Sheet1!$B$2:$B$22000)),ROW($A307:$F307))-1,4)</f>
        <v>0</v>
      </c>
      <c r="F309" s="4">
        <f t="array" ref="F309">INDEX(Sheet1!$B$2:$F$22000,SMALL(IF(Sheet1!$A$2:$A$22000=$A$1,ROW(Sheet1!$B$2:$B$22000)),ROW($A307:$F307))-1,5)</f>
        <v>0</v>
      </c>
      <c r="M309" s="9">
        <v>307</v>
      </c>
      <c r="N309" s="10">
        <f t="shared" si="28"/>
        <v>0</v>
      </c>
      <c r="O309" s="11">
        <f t="shared" si="29"/>
        <v>0</v>
      </c>
      <c r="P309" s="12">
        <f t="shared" si="30"/>
        <v>0</v>
      </c>
      <c r="Q309" s="13">
        <f t="shared" si="31"/>
        <v>0</v>
      </c>
      <c r="V309" s="14">
        <f t="shared" si="26"/>
        <v>0.599609375</v>
      </c>
      <c r="W309" s="10">
        <f t="shared" si="32"/>
        <v>0</v>
      </c>
      <c r="X309" s="11">
        <f t="shared" si="32"/>
        <v>0</v>
      </c>
      <c r="Y309" s="12">
        <f t="shared" si="32"/>
        <v>0</v>
      </c>
      <c r="Z309" s="13">
        <f t="shared" si="27"/>
        <v>0</v>
      </c>
    </row>
    <row r="310" spans="2:26" x14ac:dyDescent="0.25">
      <c r="B310" s="4">
        <v>308</v>
      </c>
      <c r="C310" s="4">
        <f t="array" ref="C310">INDEX(Sheet1!$B$2:$F$22000,SMALL(IF(Sheet1!$A$2:$A$22000=$A$1,ROW(Sheet1!$B$2:$B$22000)),ROW($A308:$F308))-1,2)</f>
        <v>0</v>
      </c>
      <c r="D310" s="4">
        <f t="array" ref="D310">INDEX(Sheet1!$B$2:$F$22000,SMALL(IF(Sheet1!$A$2:$A$22000=$A$1,ROW(Sheet1!$B$2:$B$22000)),ROW($A308:$F308))-1,3)</f>
        <v>0</v>
      </c>
      <c r="E310" s="4">
        <f t="array" ref="E310">INDEX(Sheet1!$B$2:$F$22000,SMALL(IF(Sheet1!$A$2:$A$22000=$A$1,ROW(Sheet1!$B$2:$B$22000)),ROW($A308:$F308))-1,4)</f>
        <v>0</v>
      </c>
      <c r="F310" s="4">
        <f t="array" ref="F310">INDEX(Sheet1!$B$2:$F$22000,SMALL(IF(Sheet1!$A$2:$A$22000=$A$1,ROW(Sheet1!$B$2:$B$22000)),ROW($A308:$F308))-1,5)</f>
        <v>0</v>
      </c>
      <c r="M310" s="9">
        <v>308</v>
      </c>
      <c r="N310" s="10">
        <f t="shared" si="28"/>
        <v>0</v>
      </c>
      <c r="O310" s="11">
        <f t="shared" si="29"/>
        <v>0</v>
      </c>
      <c r="P310" s="12">
        <f t="shared" si="30"/>
        <v>0</v>
      </c>
      <c r="Q310" s="13">
        <f t="shared" si="31"/>
        <v>0</v>
      </c>
      <c r="V310" s="14">
        <f t="shared" si="26"/>
        <v>0.6015625</v>
      </c>
      <c r="W310" s="10">
        <f t="shared" si="32"/>
        <v>0</v>
      </c>
      <c r="X310" s="11">
        <f t="shared" si="32"/>
        <v>0</v>
      </c>
      <c r="Y310" s="12">
        <f t="shared" si="32"/>
        <v>0</v>
      </c>
      <c r="Z310" s="13">
        <f t="shared" si="27"/>
        <v>0</v>
      </c>
    </row>
    <row r="311" spans="2:26" x14ac:dyDescent="0.25">
      <c r="B311" s="4">
        <v>309</v>
      </c>
      <c r="C311" s="4">
        <f t="array" ref="C311">INDEX(Sheet1!$B$2:$F$22000,SMALL(IF(Sheet1!$A$2:$A$22000=$A$1,ROW(Sheet1!$B$2:$B$22000)),ROW($A309:$F309))-1,2)</f>
        <v>0</v>
      </c>
      <c r="D311" s="4">
        <f t="array" ref="D311">INDEX(Sheet1!$B$2:$F$22000,SMALL(IF(Sheet1!$A$2:$A$22000=$A$1,ROW(Sheet1!$B$2:$B$22000)),ROW($A309:$F309))-1,3)</f>
        <v>0</v>
      </c>
      <c r="E311" s="4">
        <f t="array" ref="E311">INDEX(Sheet1!$B$2:$F$22000,SMALL(IF(Sheet1!$A$2:$A$22000=$A$1,ROW(Sheet1!$B$2:$B$22000)),ROW($A309:$F309))-1,4)</f>
        <v>0</v>
      </c>
      <c r="F311" s="4">
        <f t="array" ref="F311">INDEX(Sheet1!$B$2:$F$22000,SMALL(IF(Sheet1!$A$2:$A$22000=$A$1,ROW(Sheet1!$B$2:$B$22000)),ROW($A309:$F309))-1,5)</f>
        <v>0</v>
      </c>
      <c r="M311" s="9">
        <v>309</v>
      </c>
      <c r="N311" s="10">
        <f t="shared" si="28"/>
        <v>0</v>
      </c>
      <c r="O311" s="11">
        <f t="shared" si="29"/>
        <v>0</v>
      </c>
      <c r="P311" s="12">
        <f t="shared" si="30"/>
        <v>0</v>
      </c>
      <c r="Q311" s="13">
        <f t="shared" si="31"/>
        <v>0</v>
      </c>
      <c r="V311" s="14">
        <f t="shared" si="26"/>
        <v>0.603515625</v>
      </c>
      <c r="W311" s="10">
        <f t="shared" si="32"/>
        <v>0</v>
      </c>
      <c r="X311" s="11">
        <f t="shared" si="32"/>
        <v>0</v>
      </c>
      <c r="Y311" s="12">
        <f t="shared" si="32"/>
        <v>0</v>
      </c>
      <c r="Z311" s="13">
        <f t="shared" si="27"/>
        <v>0</v>
      </c>
    </row>
    <row r="312" spans="2:26" x14ac:dyDescent="0.25">
      <c r="B312" s="4">
        <v>310</v>
      </c>
      <c r="C312" s="4">
        <f t="array" ref="C312">INDEX(Sheet1!$B$2:$F$22000,SMALL(IF(Sheet1!$A$2:$A$22000=$A$1,ROW(Sheet1!$B$2:$B$22000)),ROW($A310:$F310))-1,2)</f>
        <v>0</v>
      </c>
      <c r="D312" s="4">
        <f t="array" ref="D312">INDEX(Sheet1!$B$2:$F$22000,SMALL(IF(Sheet1!$A$2:$A$22000=$A$1,ROW(Sheet1!$B$2:$B$22000)),ROW($A310:$F310))-1,3)</f>
        <v>0</v>
      </c>
      <c r="E312" s="4">
        <f t="array" ref="E312">INDEX(Sheet1!$B$2:$F$22000,SMALL(IF(Sheet1!$A$2:$A$22000=$A$1,ROW(Sheet1!$B$2:$B$22000)),ROW($A310:$F310))-1,4)</f>
        <v>0</v>
      </c>
      <c r="F312" s="4">
        <f t="array" ref="F312">INDEX(Sheet1!$B$2:$F$22000,SMALL(IF(Sheet1!$A$2:$A$22000=$A$1,ROW(Sheet1!$B$2:$B$22000)),ROW($A310:$F310))-1,5)</f>
        <v>0</v>
      </c>
      <c r="M312" s="9">
        <v>310</v>
      </c>
      <c r="N312" s="10">
        <f t="shared" si="28"/>
        <v>0</v>
      </c>
      <c r="O312" s="11">
        <f t="shared" si="29"/>
        <v>0</v>
      </c>
      <c r="P312" s="12">
        <f t="shared" si="30"/>
        <v>0</v>
      </c>
      <c r="Q312" s="13">
        <f t="shared" si="31"/>
        <v>0</v>
      </c>
      <c r="V312" s="14">
        <f t="shared" si="26"/>
        <v>0.60546875</v>
      </c>
      <c r="W312" s="10">
        <f t="shared" si="32"/>
        <v>0</v>
      </c>
      <c r="X312" s="11">
        <f t="shared" si="32"/>
        <v>0</v>
      </c>
      <c r="Y312" s="12">
        <f t="shared" si="32"/>
        <v>0</v>
      </c>
      <c r="Z312" s="13">
        <f t="shared" si="27"/>
        <v>0</v>
      </c>
    </row>
    <row r="313" spans="2:26" x14ac:dyDescent="0.25">
      <c r="B313" s="4">
        <v>311</v>
      </c>
      <c r="C313" s="4">
        <f t="array" ref="C313">INDEX(Sheet1!$B$2:$F$22000,SMALL(IF(Sheet1!$A$2:$A$22000=$A$1,ROW(Sheet1!$B$2:$B$22000)),ROW($A311:$F311))-1,2)</f>
        <v>0</v>
      </c>
      <c r="D313" s="4">
        <f t="array" ref="D313">INDEX(Sheet1!$B$2:$F$22000,SMALL(IF(Sheet1!$A$2:$A$22000=$A$1,ROW(Sheet1!$B$2:$B$22000)),ROW($A311:$F311))-1,3)</f>
        <v>0</v>
      </c>
      <c r="E313" s="4">
        <f t="array" ref="E313">INDEX(Sheet1!$B$2:$F$22000,SMALL(IF(Sheet1!$A$2:$A$22000=$A$1,ROW(Sheet1!$B$2:$B$22000)),ROW($A311:$F311))-1,4)</f>
        <v>0</v>
      </c>
      <c r="F313" s="4">
        <f t="array" ref="F313">INDEX(Sheet1!$B$2:$F$22000,SMALL(IF(Sheet1!$A$2:$A$22000=$A$1,ROW(Sheet1!$B$2:$B$22000)),ROW($A311:$F311))-1,5)</f>
        <v>0</v>
      </c>
      <c r="M313" s="9">
        <v>311</v>
      </c>
      <c r="N313" s="10">
        <f t="shared" si="28"/>
        <v>0</v>
      </c>
      <c r="O313" s="11">
        <f t="shared" si="29"/>
        <v>0</v>
      </c>
      <c r="P313" s="12">
        <f t="shared" si="30"/>
        <v>0</v>
      </c>
      <c r="Q313" s="13">
        <f t="shared" si="31"/>
        <v>0</v>
      </c>
      <c r="V313" s="14">
        <f t="shared" si="26"/>
        <v>0.607421875</v>
      </c>
      <c r="W313" s="10">
        <f t="shared" si="32"/>
        <v>0</v>
      </c>
      <c r="X313" s="11">
        <f t="shared" si="32"/>
        <v>0</v>
      </c>
      <c r="Y313" s="12">
        <f t="shared" si="32"/>
        <v>0</v>
      </c>
      <c r="Z313" s="13">
        <f t="shared" si="27"/>
        <v>0</v>
      </c>
    </row>
    <row r="314" spans="2:26" x14ac:dyDescent="0.25">
      <c r="B314" s="4">
        <v>312</v>
      </c>
      <c r="C314" s="4">
        <f t="array" ref="C314">INDEX(Sheet1!$B$2:$F$22000,SMALL(IF(Sheet1!$A$2:$A$22000=$A$1,ROW(Sheet1!$B$2:$B$22000)),ROW($A312:$F312))-1,2)</f>
        <v>0</v>
      </c>
      <c r="D314" s="4">
        <f t="array" ref="D314">INDEX(Sheet1!$B$2:$F$22000,SMALL(IF(Sheet1!$A$2:$A$22000=$A$1,ROW(Sheet1!$B$2:$B$22000)),ROW($A312:$F312))-1,3)</f>
        <v>0</v>
      </c>
      <c r="E314" s="4">
        <f t="array" ref="E314">INDEX(Sheet1!$B$2:$F$22000,SMALL(IF(Sheet1!$A$2:$A$22000=$A$1,ROW(Sheet1!$B$2:$B$22000)),ROW($A312:$F312))-1,4)</f>
        <v>0</v>
      </c>
      <c r="F314" s="4">
        <f t="array" ref="F314">INDEX(Sheet1!$B$2:$F$22000,SMALL(IF(Sheet1!$A$2:$A$22000=$A$1,ROW(Sheet1!$B$2:$B$22000)),ROW($A312:$F312))-1,5)</f>
        <v>0</v>
      </c>
      <c r="M314" s="9">
        <v>312</v>
      </c>
      <c r="N314" s="10">
        <f t="shared" si="28"/>
        <v>0</v>
      </c>
      <c r="O314" s="11">
        <f t="shared" si="29"/>
        <v>0</v>
      </c>
      <c r="P314" s="12">
        <f t="shared" si="30"/>
        <v>0</v>
      </c>
      <c r="Q314" s="13">
        <f t="shared" si="31"/>
        <v>0</v>
      </c>
      <c r="V314" s="14">
        <f t="shared" si="26"/>
        <v>0.609375</v>
      </c>
      <c r="W314" s="10">
        <f t="shared" si="32"/>
        <v>0</v>
      </c>
      <c r="X314" s="11">
        <f t="shared" si="32"/>
        <v>0</v>
      </c>
      <c r="Y314" s="12">
        <f t="shared" si="32"/>
        <v>0</v>
      </c>
      <c r="Z314" s="13">
        <f t="shared" si="27"/>
        <v>0</v>
      </c>
    </row>
    <row r="315" spans="2:26" x14ac:dyDescent="0.25">
      <c r="B315" s="4">
        <v>313</v>
      </c>
      <c r="C315" s="4">
        <f t="array" ref="C315">INDEX(Sheet1!$B$2:$F$22000,SMALL(IF(Sheet1!$A$2:$A$22000=$A$1,ROW(Sheet1!$B$2:$B$22000)),ROW($A313:$F313))-1,2)</f>
        <v>0</v>
      </c>
      <c r="D315" s="4">
        <f t="array" ref="D315">INDEX(Sheet1!$B$2:$F$22000,SMALL(IF(Sheet1!$A$2:$A$22000=$A$1,ROW(Sheet1!$B$2:$B$22000)),ROW($A313:$F313))-1,3)</f>
        <v>0</v>
      </c>
      <c r="E315" s="4">
        <f t="array" ref="E315">INDEX(Sheet1!$B$2:$F$22000,SMALL(IF(Sheet1!$A$2:$A$22000=$A$1,ROW(Sheet1!$B$2:$B$22000)),ROW($A313:$F313))-1,4)</f>
        <v>0</v>
      </c>
      <c r="F315" s="4">
        <f t="array" ref="F315">INDEX(Sheet1!$B$2:$F$22000,SMALL(IF(Sheet1!$A$2:$A$22000=$A$1,ROW(Sheet1!$B$2:$B$22000)),ROW($A313:$F313))-1,5)</f>
        <v>0</v>
      </c>
      <c r="M315" s="9">
        <v>313</v>
      </c>
      <c r="N315" s="10">
        <f t="shared" si="28"/>
        <v>0</v>
      </c>
      <c r="O315" s="11">
        <f t="shared" si="29"/>
        <v>0</v>
      </c>
      <c r="P315" s="12">
        <f t="shared" si="30"/>
        <v>0</v>
      </c>
      <c r="Q315" s="13">
        <f t="shared" si="31"/>
        <v>0</v>
      </c>
      <c r="V315" s="14">
        <f t="shared" si="26"/>
        <v>0.611328125</v>
      </c>
      <c r="W315" s="10">
        <f t="shared" si="32"/>
        <v>0</v>
      </c>
      <c r="X315" s="11">
        <f t="shared" si="32"/>
        <v>0</v>
      </c>
      <c r="Y315" s="12">
        <f t="shared" si="32"/>
        <v>0</v>
      </c>
      <c r="Z315" s="13">
        <f t="shared" si="27"/>
        <v>0</v>
      </c>
    </row>
    <row r="316" spans="2:26" x14ac:dyDescent="0.25">
      <c r="B316" s="4">
        <v>314</v>
      </c>
      <c r="C316" s="4">
        <f t="array" ref="C316">INDEX(Sheet1!$B$2:$F$22000,SMALL(IF(Sheet1!$A$2:$A$22000=$A$1,ROW(Sheet1!$B$2:$B$22000)),ROW($A314:$F314))-1,2)</f>
        <v>0</v>
      </c>
      <c r="D316" s="4">
        <f t="array" ref="D316">INDEX(Sheet1!$B$2:$F$22000,SMALL(IF(Sheet1!$A$2:$A$22000=$A$1,ROW(Sheet1!$B$2:$B$22000)),ROW($A314:$F314))-1,3)</f>
        <v>0</v>
      </c>
      <c r="E316" s="4">
        <f t="array" ref="E316">INDEX(Sheet1!$B$2:$F$22000,SMALL(IF(Sheet1!$A$2:$A$22000=$A$1,ROW(Sheet1!$B$2:$B$22000)),ROW($A314:$F314))-1,4)</f>
        <v>0</v>
      </c>
      <c r="F316" s="4">
        <f t="array" ref="F316">INDEX(Sheet1!$B$2:$F$22000,SMALL(IF(Sheet1!$A$2:$A$22000=$A$1,ROW(Sheet1!$B$2:$B$22000)),ROW($A314:$F314))-1,5)</f>
        <v>0</v>
      </c>
      <c r="M316" s="9">
        <v>314</v>
      </c>
      <c r="N316" s="10">
        <f t="shared" si="28"/>
        <v>0</v>
      </c>
      <c r="O316" s="11">
        <f t="shared" si="29"/>
        <v>0</v>
      </c>
      <c r="P316" s="12">
        <f t="shared" si="30"/>
        <v>0</v>
      </c>
      <c r="Q316" s="13">
        <f t="shared" si="31"/>
        <v>0</v>
      </c>
      <c r="V316" s="14">
        <f t="shared" si="26"/>
        <v>0.61328125</v>
      </c>
      <c r="W316" s="10">
        <f t="shared" si="32"/>
        <v>0</v>
      </c>
      <c r="X316" s="11">
        <f t="shared" si="32"/>
        <v>0</v>
      </c>
      <c r="Y316" s="12">
        <f t="shared" si="32"/>
        <v>0</v>
      </c>
      <c r="Z316" s="13">
        <f t="shared" si="27"/>
        <v>0</v>
      </c>
    </row>
    <row r="317" spans="2:26" x14ac:dyDescent="0.25">
      <c r="B317" s="4">
        <v>315</v>
      </c>
      <c r="C317" s="4">
        <f t="array" ref="C317">INDEX(Sheet1!$B$2:$F$22000,SMALL(IF(Sheet1!$A$2:$A$22000=$A$1,ROW(Sheet1!$B$2:$B$22000)),ROW($A315:$F315))-1,2)</f>
        <v>0</v>
      </c>
      <c r="D317" s="4">
        <f t="array" ref="D317">INDEX(Sheet1!$B$2:$F$22000,SMALL(IF(Sheet1!$A$2:$A$22000=$A$1,ROW(Sheet1!$B$2:$B$22000)),ROW($A315:$F315))-1,3)</f>
        <v>0</v>
      </c>
      <c r="E317" s="4">
        <f t="array" ref="E317">INDEX(Sheet1!$B$2:$F$22000,SMALL(IF(Sheet1!$A$2:$A$22000=$A$1,ROW(Sheet1!$B$2:$B$22000)),ROW($A315:$F315))-1,4)</f>
        <v>0</v>
      </c>
      <c r="F317" s="4">
        <f t="array" ref="F317">INDEX(Sheet1!$B$2:$F$22000,SMALL(IF(Sheet1!$A$2:$A$22000=$A$1,ROW(Sheet1!$B$2:$B$22000)),ROW($A315:$F315))-1,5)</f>
        <v>0</v>
      </c>
      <c r="M317" s="9">
        <v>315</v>
      </c>
      <c r="N317" s="10">
        <f t="shared" si="28"/>
        <v>0</v>
      </c>
      <c r="O317" s="11">
        <f t="shared" si="29"/>
        <v>0</v>
      </c>
      <c r="P317" s="12">
        <f t="shared" si="30"/>
        <v>0</v>
      </c>
      <c r="Q317" s="13">
        <f t="shared" si="31"/>
        <v>0</v>
      </c>
      <c r="V317" s="14">
        <f t="shared" si="26"/>
        <v>0.615234375</v>
      </c>
      <c r="W317" s="10">
        <f t="shared" si="32"/>
        <v>0</v>
      </c>
      <c r="X317" s="11">
        <f t="shared" si="32"/>
        <v>0</v>
      </c>
      <c r="Y317" s="12">
        <f t="shared" si="32"/>
        <v>0</v>
      </c>
      <c r="Z317" s="13">
        <f t="shared" si="27"/>
        <v>0</v>
      </c>
    </row>
    <row r="318" spans="2:26" x14ac:dyDescent="0.25">
      <c r="B318" s="4">
        <v>316</v>
      </c>
      <c r="C318" s="4">
        <f t="array" ref="C318">INDEX(Sheet1!$B$2:$F$22000,SMALL(IF(Sheet1!$A$2:$A$22000=$A$1,ROW(Sheet1!$B$2:$B$22000)),ROW($A316:$F316))-1,2)</f>
        <v>0</v>
      </c>
      <c r="D318" s="4">
        <f t="array" ref="D318">INDEX(Sheet1!$B$2:$F$22000,SMALL(IF(Sheet1!$A$2:$A$22000=$A$1,ROW(Sheet1!$B$2:$B$22000)),ROW($A316:$F316))-1,3)</f>
        <v>0</v>
      </c>
      <c r="E318" s="4">
        <f t="array" ref="E318">INDEX(Sheet1!$B$2:$F$22000,SMALL(IF(Sheet1!$A$2:$A$22000=$A$1,ROW(Sheet1!$B$2:$B$22000)),ROW($A316:$F316))-1,4)</f>
        <v>0</v>
      </c>
      <c r="F318" s="4">
        <f t="array" ref="F318">INDEX(Sheet1!$B$2:$F$22000,SMALL(IF(Sheet1!$A$2:$A$22000=$A$1,ROW(Sheet1!$B$2:$B$22000)),ROW($A316:$F316))-1,5)</f>
        <v>0</v>
      </c>
      <c r="M318" s="9">
        <v>316</v>
      </c>
      <c r="N318" s="10">
        <f t="shared" si="28"/>
        <v>0</v>
      </c>
      <c r="O318" s="11">
        <f t="shared" si="29"/>
        <v>0</v>
      </c>
      <c r="P318" s="12">
        <f t="shared" si="30"/>
        <v>0</v>
      </c>
      <c r="Q318" s="13">
        <f t="shared" si="31"/>
        <v>0</v>
      </c>
      <c r="V318" s="14">
        <f t="shared" si="26"/>
        <v>0.6171875</v>
      </c>
      <c r="W318" s="10">
        <f t="shared" si="32"/>
        <v>0</v>
      </c>
      <c r="X318" s="11">
        <f t="shared" si="32"/>
        <v>0</v>
      </c>
      <c r="Y318" s="12">
        <f t="shared" si="32"/>
        <v>0</v>
      </c>
      <c r="Z318" s="13">
        <f t="shared" si="27"/>
        <v>0</v>
      </c>
    </row>
    <row r="319" spans="2:26" x14ac:dyDescent="0.25">
      <c r="B319" s="4">
        <v>317</v>
      </c>
      <c r="C319" s="4">
        <f t="array" ref="C319">INDEX(Sheet1!$B$2:$F$22000,SMALL(IF(Sheet1!$A$2:$A$22000=$A$1,ROW(Sheet1!$B$2:$B$22000)),ROW($A317:$F317))-1,2)</f>
        <v>0</v>
      </c>
      <c r="D319" s="4">
        <f t="array" ref="D319">INDEX(Sheet1!$B$2:$F$22000,SMALL(IF(Sheet1!$A$2:$A$22000=$A$1,ROW(Sheet1!$B$2:$B$22000)),ROW($A317:$F317))-1,3)</f>
        <v>0</v>
      </c>
      <c r="E319" s="4">
        <f t="array" ref="E319">INDEX(Sheet1!$B$2:$F$22000,SMALL(IF(Sheet1!$A$2:$A$22000=$A$1,ROW(Sheet1!$B$2:$B$22000)),ROW($A317:$F317))-1,4)</f>
        <v>0</v>
      </c>
      <c r="F319" s="4">
        <f t="array" ref="F319">INDEX(Sheet1!$B$2:$F$22000,SMALL(IF(Sheet1!$A$2:$A$22000=$A$1,ROW(Sheet1!$B$2:$B$22000)),ROW($A317:$F317))-1,5)</f>
        <v>0</v>
      </c>
      <c r="M319" s="9">
        <v>317</v>
      </c>
      <c r="N319" s="10">
        <f t="shared" si="28"/>
        <v>0</v>
      </c>
      <c r="O319" s="11">
        <f t="shared" si="29"/>
        <v>0</v>
      </c>
      <c r="P319" s="12">
        <f t="shared" si="30"/>
        <v>0</v>
      </c>
      <c r="Q319" s="13">
        <f t="shared" si="31"/>
        <v>0</v>
      </c>
      <c r="V319" s="14">
        <f t="shared" si="26"/>
        <v>0.619140625</v>
      </c>
      <c r="W319" s="10">
        <f t="shared" si="32"/>
        <v>0</v>
      </c>
      <c r="X319" s="11">
        <f t="shared" si="32"/>
        <v>0</v>
      </c>
      <c r="Y319" s="12">
        <f t="shared" si="32"/>
        <v>0</v>
      </c>
      <c r="Z319" s="13">
        <f t="shared" si="27"/>
        <v>0</v>
      </c>
    </row>
    <row r="320" spans="2:26" x14ac:dyDescent="0.25">
      <c r="B320" s="4">
        <v>318</v>
      </c>
      <c r="C320" s="4">
        <f t="array" ref="C320">INDEX(Sheet1!$B$2:$F$22000,SMALL(IF(Sheet1!$A$2:$A$22000=$A$1,ROW(Sheet1!$B$2:$B$22000)),ROW($A318:$F318))-1,2)</f>
        <v>0</v>
      </c>
      <c r="D320" s="4">
        <f t="array" ref="D320">INDEX(Sheet1!$B$2:$F$22000,SMALL(IF(Sheet1!$A$2:$A$22000=$A$1,ROW(Sheet1!$B$2:$B$22000)),ROW($A318:$F318))-1,3)</f>
        <v>0</v>
      </c>
      <c r="E320" s="4">
        <f t="array" ref="E320">INDEX(Sheet1!$B$2:$F$22000,SMALL(IF(Sheet1!$A$2:$A$22000=$A$1,ROW(Sheet1!$B$2:$B$22000)),ROW($A318:$F318))-1,4)</f>
        <v>0</v>
      </c>
      <c r="F320" s="4">
        <f t="array" ref="F320">INDEX(Sheet1!$B$2:$F$22000,SMALL(IF(Sheet1!$A$2:$A$22000=$A$1,ROW(Sheet1!$B$2:$B$22000)),ROW($A318:$F318))-1,5)</f>
        <v>0</v>
      </c>
      <c r="M320" s="9">
        <v>318</v>
      </c>
      <c r="N320" s="10">
        <f t="shared" si="28"/>
        <v>0</v>
      </c>
      <c r="O320" s="11">
        <f t="shared" si="29"/>
        <v>0</v>
      </c>
      <c r="P320" s="12">
        <f t="shared" si="30"/>
        <v>0</v>
      </c>
      <c r="Q320" s="13">
        <f t="shared" si="31"/>
        <v>0</v>
      </c>
      <c r="V320" s="14">
        <f t="shared" si="26"/>
        <v>0.62109375</v>
      </c>
      <c r="W320" s="10">
        <f t="shared" si="32"/>
        <v>0</v>
      </c>
      <c r="X320" s="11">
        <f t="shared" si="32"/>
        <v>0</v>
      </c>
      <c r="Y320" s="12">
        <f t="shared" si="32"/>
        <v>0</v>
      </c>
      <c r="Z320" s="13">
        <f t="shared" si="27"/>
        <v>0</v>
      </c>
    </row>
    <row r="321" spans="2:26" x14ac:dyDescent="0.25">
      <c r="B321" s="4">
        <v>319</v>
      </c>
      <c r="C321" s="4">
        <f t="array" ref="C321">INDEX(Sheet1!$B$2:$F$22000,SMALL(IF(Sheet1!$A$2:$A$22000=$A$1,ROW(Sheet1!$B$2:$B$22000)),ROW($A319:$F319))-1,2)</f>
        <v>0</v>
      </c>
      <c r="D321" s="4">
        <f t="array" ref="D321">INDEX(Sheet1!$B$2:$F$22000,SMALL(IF(Sheet1!$A$2:$A$22000=$A$1,ROW(Sheet1!$B$2:$B$22000)),ROW($A319:$F319))-1,3)</f>
        <v>0</v>
      </c>
      <c r="E321" s="4">
        <f t="array" ref="E321">INDEX(Sheet1!$B$2:$F$22000,SMALL(IF(Sheet1!$A$2:$A$22000=$A$1,ROW(Sheet1!$B$2:$B$22000)),ROW($A319:$F319))-1,4)</f>
        <v>0</v>
      </c>
      <c r="F321" s="4">
        <f t="array" ref="F321">INDEX(Sheet1!$B$2:$F$22000,SMALL(IF(Sheet1!$A$2:$A$22000=$A$1,ROW(Sheet1!$B$2:$B$22000)),ROW($A319:$F319))-1,5)</f>
        <v>0</v>
      </c>
      <c r="M321" s="9">
        <v>319</v>
      </c>
      <c r="N321" s="10">
        <f t="shared" si="28"/>
        <v>0</v>
      </c>
      <c r="O321" s="11">
        <f t="shared" si="29"/>
        <v>0</v>
      </c>
      <c r="P321" s="12">
        <f t="shared" si="30"/>
        <v>0</v>
      </c>
      <c r="Q321" s="13">
        <f t="shared" si="31"/>
        <v>0</v>
      </c>
      <c r="V321" s="14">
        <f t="shared" si="26"/>
        <v>0.623046875</v>
      </c>
      <c r="W321" s="10">
        <f t="shared" si="32"/>
        <v>0</v>
      </c>
      <c r="X321" s="11">
        <f t="shared" si="32"/>
        <v>0</v>
      </c>
      <c r="Y321" s="12">
        <f t="shared" si="32"/>
        <v>0</v>
      </c>
      <c r="Z321" s="13">
        <f t="shared" si="27"/>
        <v>0</v>
      </c>
    </row>
    <row r="322" spans="2:26" x14ac:dyDescent="0.25">
      <c r="B322" s="4">
        <v>320</v>
      </c>
      <c r="C322" s="4">
        <f t="array" ref="C322">INDEX(Sheet1!$B$2:$F$22000,SMALL(IF(Sheet1!$A$2:$A$22000=$A$1,ROW(Sheet1!$B$2:$B$22000)),ROW($A320:$F320))-1,2)</f>
        <v>0</v>
      </c>
      <c r="D322" s="4">
        <f t="array" ref="D322">INDEX(Sheet1!$B$2:$F$22000,SMALL(IF(Sheet1!$A$2:$A$22000=$A$1,ROW(Sheet1!$B$2:$B$22000)),ROW($A320:$F320))-1,3)</f>
        <v>0</v>
      </c>
      <c r="E322" s="4">
        <f t="array" ref="E322">INDEX(Sheet1!$B$2:$F$22000,SMALL(IF(Sheet1!$A$2:$A$22000=$A$1,ROW(Sheet1!$B$2:$B$22000)),ROW($A320:$F320))-1,4)</f>
        <v>0</v>
      </c>
      <c r="F322" s="4">
        <f t="array" ref="F322">INDEX(Sheet1!$B$2:$F$22000,SMALL(IF(Sheet1!$A$2:$A$22000=$A$1,ROW(Sheet1!$B$2:$B$22000)),ROW($A320:$F320))-1,5)</f>
        <v>0</v>
      </c>
      <c r="M322" s="9">
        <v>320</v>
      </c>
      <c r="N322" s="10">
        <f t="shared" si="28"/>
        <v>0</v>
      </c>
      <c r="O322" s="11">
        <f t="shared" si="29"/>
        <v>0</v>
      </c>
      <c r="P322" s="12">
        <f t="shared" si="30"/>
        <v>0</v>
      </c>
      <c r="Q322" s="13">
        <f t="shared" si="31"/>
        <v>0</v>
      </c>
      <c r="V322" s="14">
        <f t="shared" ref="V322:V385" si="33">$M322*(1/512)</f>
        <v>0.625</v>
      </c>
      <c r="W322" s="10">
        <f t="shared" si="32"/>
        <v>0</v>
      </c>
      <c r="X322" s="11">
        <f t="shared" si="32"/>
        <v>0</v>
      </c>
      <c r="Y322" s="12">
        <f t="shared" si="32"/>
        <v>0</v>
      </c>
      <c r="Z322" s="13">
        <f t="shared" si="27"/>
        <v>0</v>
      </c>
    </row>
    <row r="323" spans="2:26" x14ac:dyDescent="0.25">
      <c r="B323" s="4">
        <v>321</v>
      </c>
      <c r="C323" s="4">
        <f t="array" ref="C323">INDEX(Sheet1!$B$2:$F$22000,SMALL(IF(Sheet1!$A$2:$A$22000=$A$1,ROW(Sheet1!$B$2:$B$22000)),ROW($A321:$F321))-1,2)</f>
        <v>0</v>
      </c>
      <c r="D323" s="4">
        <f t="array" ref="D323">INDEX(Sheet1!$B$2:$F$22000,SMALL(IF(Sheet1!$A$2:$A$22000=$A$1,ROW(Sheet1!$B$2:$B$22000)),ROW($A321:$F321))-1,3)</f>
        <v>0</v>
      </c>
      <c r="E323" s="4">
        <f t="array" ref="E323">INDEX(Sheet1!$B$2:$F$22000,SMALL(IF(Sheet1!$A$2:$A$22000=$A$1,ROW(Sheet1!$B$2:$B$22000)),ROW($A321:$F321))-1,4)</f>
        <v>0</v>
      </c>
      <c r="F323" s="4">
        <f t="array" ref="F323">INDEX(Sheet1!$B$2:$F$22000,SMALL(IF(Sheet1!$A$2:$A$22000=$A$1,ROW(Sheet1!$B$2:$B$22000)),ROW($A321:$F321))-1,5)</f>
        <v>0</v>
      </c>
      <c r="M323" s="9">
        <v>321</v>
      </c>
      <c r="N323" s="10">
        <f t="shared" si="28"/>
        <v>0</v>
      </c>
      <c r="O323" s="11">
        <f t="shared" si="29"/>
        <v>0</v>
      </c>
      <c r="P323" s="12">
        <f t="shared" si="30"/>
        <v>0</v>
      </c>
      <c r="Q323" s="13">
        <f t="shared" si="31"/>
        <v>0</v>
      </c>
      <c r="V323" s="14">
        <f t="shared" si="33"/>
        <v>0.626953125</v>
      </c>
      <c r="W323" s="10">
        <f t="shared" si="32"/>
        <v>0</v>
      </c>
      <c r="X323" s="11">
        <f t="shared" si="32"/>
        <v>0</v>
      </c>
      <c r="Y323" s="12">
        <f t="shared" si="32"/>
        <v>0</v>
      </c>
      <c r="Z323" s="13">
        <f t="shared" si="32"/>
        <v>0</v>
      </c>
    </row>
    <row r="324" spans="2:26" x14ac:dyDescent="0.25">
      <c r="B324" s="4">
        <v>322</v>
      </c>
      <c r="C324" s="4">
        <f t="array" ref="C324">INDEX(Sheet1!$B$2:$F$22000,SMALL(IF(Sheet1!$A$2:$A$22000=$A$1,ROW(Sheet1!$B$2:$B$22000)),ROW($A322:$F322))-1,2)</f>
        <v>0</v>
      </c>
      <c r="D324" s="4">
        <f t="array" ref="D324">INDEX(Sheet1!$B$2:$F$22000,SMALL(IF(Sheet1!$A$2:$A$22000=$A$1,ROW(Sheet1!$B$2:$B$22000)),ROW($A322:$F322))-1,3)</f>
        <v>0</v>
      </c>
      <c r="E324" s="4">
        <f t="array" ref="E324">INDEX(Sheet1!$B$2:$F$22000,SMALL(IF(Sheet1!$A$2:$A$22000=$A$1,ROW(Sheet1!$B$2:$B$22000)),ROW($A322:$F322))-1,4)</f>
        <v>0</v>
      </c>
      <c r="F324" s="4">
        <f t="array" ref="F324">INDEX(Sheet1!$B$2:$F$22000,SMALL(IF(Sheet1!$A$2:$A$22000=$A$1,ROW(Sheet1!$B$2:$B$22000)),ROW($A322:$F322))-1,5)</f>
        <v>0</v>
      </c>
      <c r="M324" s="9">
        <v>322</v>
      </c>
      <c r="N324" s="10">
        <f t="shared" ref="N324:N387" si="34">C324</f>
        <v>0</v>
      </c>
      <c r="O324" s="11">
        <f t="shared" ref="O324:O387" si="35">D324</f>
        <v>0</v>
      </c>
      <c r="P324" s="12">
        <f t="shared" ref="P324:P387" si="36">E324</f>
        <v>0</v>
      </c>
      <c r="Q324" s="13">
        <f t="shared" ref="Q324:Q387" si="37">F324</f>
        <v>0</v>
      </c>
      <c r="V324" s="14">
        <f t="shared" si="33"/>
        <v>0.62890625</v>
      </c>
      <c r="W324" s="10">
        <f t="shared" ref="W324:Z387" si="38">IMABS(R324)</f>
        <v>0</v>
      </c>
      <c r="X324" s="11">
        <f t="shared" si="38"/>
        <v>0</v>
      </c>
      <c r="Y324" s="12">
        <f t="shared" si="38"/>
        <v>0</v>
      </c>
      <c r="Z324" s="13">
        <f t="shared" si="38"/>
        <v>0</v>
      </c>
    </row>
    <row r="325" spans="2:26" x14ac:dyDescent="0.25">
      <c r="B325" s="4">
        <v>323</v>
      </c>
      <c r="C325" s="4">
        <f t="array" ref="C325">INDEX(Sheet1!$B$2:$F$22000,SMALL(IF(Sheet1!$A$2:$A$22000=$A$1,ROW(Sheet1!$B$2:$B$22000)),ROW($A323:$F323))-1,2)</f>
        <v>0</v>
      </c>
      <c r="D325" s="4">
        <f t="array" ref="D325">INDEX(Sheet1!$B$2:$F$22000,SMALL(IF(Sheet1!$A$2:$A$22000=$A$1,ROW(Sheet1!$B$2:$B$22000)),ROW($A323:$F323))-1,3)</f>
        <v>0</v>
      </c>
      <c r="E325" s="4">
        <f t="array" ref="E325">INDEX(Sheet1!$B$2:$F$22000,SMALL(IF(Sheet1!$A$2:$A$22000=$A$1,ROW(Sheet1!$B$2:$B$22000)),ROW($A323:$F323))-1,4)</f>
        <v>0</v>
      </c>
      <c r="F325" s="4">
        <f t="array" ref="F325">INDEX(Sheet1!$B$2:$F$22000,SMALL(IF(Sheet1!$A$2:$A$22000=$A$1,ROW(Sheet1!$B$2:$B$22000)),ROW($A323:$F323))-1,5)</f>
        <v>0</v>
      </c>
      <c r="M325" s="9">
        <v>323</v>
      </c>
      <c r="N325" s="10">
        <f t="shared" si="34"/>
        <v>0</v>
      </c>
      <c r="O325" s="11">
        <f t="shared" si="35"/>
        <v>0</v>
      </c>
      <c r="P325" s="12">
        <f t="shared" si="36"/>
        <v>0</v>
      </c>
      <c r="Q325" s="13">
        <f t="shared" si="37"/>
        <v>0</v>
      </c>
      <c r="V325" s="14">
        <f t="shared" si="33"/>
        <v>0.630859375</v>
      </c>
      <c r="W325" s="10">
        <f t="shared" si="38"/>
        <v>0</v>
      </c>
      <c r="X325" s="11">
        <f t="shared" si="38"/>
        <v>0</v>
      </c>
      <c r="Y325" s="12">
        <f t="shared" si="38"/>
        <v>0</v>
      </c>
      <c r="Z325" s="13">
        <f t="shared" si="38"/>
        <v>0</v>
      </c>
    </row>
    <row r="326" spans="2:26" x14ac:dyDescent="0.25">
      <c r="B326" s="4">
        <v>324</v>
      </c>
      <c r="C326" s="4">
        <f t="array" ref="C326">INDEX(Sheet1!$B$2:$F$22000,SMALL(IF(Sheet1!$A$2:$A$22000=$A$1,ROW(Sheet1!$B$2:$B$22000)),ROW($A324:$F324))-1,2)</f>
        <v>0</v>
      </c>
      <c r="D326" s="4">
        <f t="array" ref="D326">INDEX(Sheet1!$B$2:$F$22000,SMALL(IF(Sheet1!$A$2:$A$22000=$A$1,ROW(Sheet1!$B$2:$B$22000)),ROW($A324:$F324))-1,3)</f>
        <v>0</v>
      </c>
      <c r="E326" s="4">
        <f t="array" ref="E326">INDEX(Sheet1!$B$2:$F$22000,SMALL(IF(Sheet1!$A$2:$A$22000=$A$1,ROW(Sheet1!$B$2:$B$22000)),ROW($A324:$F324))-1,4)</f>
        <v>0</v>
      </c>
      <c r="F326" s="4">
        <f t="array" ref="F326">INDEX(Sheet1!$B$2:$F$22000,SMALL(IF(Sheet1!$A$2:$A$22000=$A$1,ROW(Sheet1!$B$2:$B$22000)),ROW($A324:$F324))-1,5)</f>
        <v>0</v>
      </c>
      <c r="M326" s="9">
        <v>324</v>
      </c>
      <c r="N326" s="10">
        <f t="shared" si="34"/>
        <v>0</v>
      </c>
      <c r="O326" s="11">
        <f t="shared" si="35"/>
        <v>0</v>
      </c>
      <c r="P326" s="12">
        <f t="shared" si="36"/>
        <v>0</v>
      </c>
      <c r="Q326" s="13">
        <f t="shared" si="37"/>
        <v>0</v>
      </c>
      <c r="V326" s="14">
        <f t="shared" si="33"/>
        <v>0.6328125</v>
      </c>
      <c r="W326" s="10">
        <f t="shared" si="38"/>
        <v>0</v>
      </c>
      <c r="X326" s="11">
        <f t="shared" si="38"/>
        <v>0</v>
      </c>
      <c r="Y326" s="12">
        <f t="shared" si="38"/>
        <v>0</v>
      </c>
      <c r="Z326" s="13">
        <f t="shared" si="38"/>
        <v>0</v>
      </c>
    </row>
    <row r="327" spans="2:26" x14ac:dyDescent="0.25">
      <c r="B327" s="4">
        <v>325</v>
      </c>
      <c r="C327" s="4">
        <f t="array" ref="C327">INDEX(Sheet1!$B$2:$F$22000,SMALL(IF(Sheet1!$A$2:$A$22000=$A$1,ROW(Sheet1!$B$2:$B$22000)),ROW($A325:$F325))-1,2)</f>
        <v>0</v>
      </c>
      <c r="D327" s="4">
        <f t="array" ref="D327">INDEX(Sheet1!$B$2:$F$22000,SMALL(IF(Sheet1!$A$2:$A$22000=$A$1,ROW(Sheet1!$B$2:$B$22000)),ROW($A325:$F325))-1,3)</f>
        <v>0</v>
      </c>
      <c r="E327" s="4">
        <f t="array" ref="E327">INDEX(Sheet1!$B$2:$F$22000,SMALL(IF(Sheet1!$A$2:$A$22000=$A$1,ROW(Sheet1!$B$2:$B$22000)),ROW($A325:$F325))-1,4)</f>
        <v>0</v>
      </c>
      <c r="F327" s="4">
        <f t="array" ref="F327">INDEX(Sheet1!$B$2:$F$22000,SMALL(IF(Sheet1!$A$2:$A$22000=$A$1,ROW(Sheet1!$B$2:$B$22000)),ROW($A325:$F325))-1,5)</f>
        <v>0</v>
      </c>
      <c r="M327" s="9">
        <v>325</v>
      </c>
      <c r="N327" s="10">
        <f t="shared" si="34"/>
        <v>0</v>
      </c>
      <c r="O327" s="11">
        <f t="shared" si="35"/>
        <v>0</v>
      </c>
      <c r="P327" s="12">
        <f t="shared" si="36"/>
        <v>0</v>
      </c>
      <c r="Q327" s="13">
        <f t="shared" si="37"/>
        <v>0</v>
      </c>
      <c r="V327" s="14">
        <f t="shared" si="33"/>
        <v>0.634765625</v>
      </c>
      <c r="W327" s="10">
        <f t="shared" si="38"/>
        <v>0</v>
      </c>
      <c r="X327" s="11">
        <f t="shared" si="38"/>
        <v>0</v>
      </c>
      <c r="Y327" s="12">
        <f t="shared" si="38"/>
        <v>0</v>
      </c>
      <c r="Z327" s="13">
        <f t="shared" si="38"/>
        <v>0</v>
      </c>
    </row>
    <row r="328" spans="2:26" x14ac:dyDescent="0.25">
      <c r="B328" s="4">
        <v>326</v>
      </c>
      <c r="C328" s="4">
        <f t="array" ref="C328">INDEX(Sheet1!$B$2:$F$22000,SMALL(IF(Sheet1!$A$2:$A$22000=$A$1,ROW(Sheet1!$B$2:$B$22000)),ROW($A326:$F326))-1,2)</f>
        <v>0</v>
      </c>
      <c r="D328" s="4">
        <f t="array" ref="D328">INDEX(Sheet1!$B$2:$F$22000,SMALL(IF(Sheet1!$A$2:$A$22000=$A$1,ROW(Sheet1!$B$2:$B$22000)),ROW($A326:$F326))-1,3)</f>
        <v>0</v>
      </c>
      <c r="E328" s="4">
        <f t="array" ref="E328">INDEX(Sheet1!$B$2:$F$22000,SMALL(IF(Sheet1!$A$2:$A$22000=$A$1,ROW(Sheet1!$B$2:$B$22000)),ROW($A326:$F326))-1,4)</f>
        <v>0</v>
      </c>
      <c r="F328" s="4">
        <f t="array" ref="F328">INDEX(Sheet1!$B$2:$F$22000,SMALL(IF(Sheet1!$A$2:$A$22000=$A$1,ROW(Sheet1!$B$2:$B$22000)),ROW($A326:$F326))-1,5)</f>
        <v>0</v>
      </c>
      <c r="M328" s="9">
        <v>326</v>
      </c>
      <c r="N328" s="10">
        <f t="shared" si="34"/>
        <v>0</v>
      </c>
      <c r="O328" s="11">
        <f t="shared" si="35"/>
        <v>0</v>
      </c>
      <c r="P328" s="12">
        <f t="shared" si="36"/>
        <v>0</v>
      </c>
      <c r="Q328" s="13">
        <f t="shared" si="37"/>
        <v>0</v>
      </c>
      <c r="V328" s="14">
        <f t="shared" si="33"/>
        <v>0.63671875</v>
      </c>
      <c r="W328" s="10">
        <f t="shared" si="38"/>
        <v>0</v>
      </c>
      <c r="X328" s="11">
        <f t="shared" si="38"/>
        <v>0</v>
      </c>
      <c r="Y328" s="12">
        <f t="shared" si="38"/>
        <v>0</v>
      </c>
      <c r="Z328" s="13">
        <f t="shared" si="38"/>
        <v>0</v>
      </c>
    </row>
    <row r="329" spans="2:26" x14ac:dyDescent="0.25">
      <c r="B329" s="4">
        <v>327</v>
      </c>
      <c r="C329" s="4">
        <f t="array" ref="C329">INDEX(Sheet1!$B$2:$F$22000,SMALL(IF(Sheet1!$A$2:$A$22000=$A$1,ROW(Sheet1!$B$2:$B$22000)),ROW($A327:$F327))-1,2)</f>
        <v>0</v>
      </c>
      <c r="D329" s="4">
        <f t="array" ref="D329">INDEX(Sheet1!$B$2:$F$22000,SMALL(IF(Sheet1!$A$2:$A$22000=$A$1,ROW(Sheet1!$B$2:$B$22000)),ROW($A327:$F327))-1,3)</f>
        <v>0</v>
      </c>
      <c r="E329" s="4">
        <f t="array" ref="E329">INDEX(Sheet1!$B$2:$F$22000,SMALL(IF(Sheet1!$A$2:$A$22000=$A$1,ROW(Sheet1!$B$2:$B$22000)),ROW($A327:$F327))-1,4)</f>
        <v>0</v>
      </c>
      <c r="F329" s="4">
        <f t="array" ref="F329">INDEX(Sheet1!$B$2:$F$22000,SMALL(IF(Sheet1!$A$2:$A$22000=$A$1,ROW(Sheet1!$B$2:$B$22000)),ROW($A327:$F327))-1,5)</f>
        <v>0</v>
      </c>
      <c r="M329" s="9">
        <v>327</v>
      </c>
      <c r="N329" s="10">
        <f t="shared" si="34"/>
        <v>0</v>
      </c>
      <c r="O329" s="11">
        <f t="shared" si="35"/>
        <v>0</v>
      </c>
      <c r="P329" s="12">
        <f t="shared" si="36"/>
        <v>0</v>
      </c>
      <c r="Q329" s="13">
        <f t="shared" si="37"/>
        <v>0</v>
      </c>
      <c r="V329" s="14">
        <f t="shared" si="33"/>
        <v>0.638671875</v>
      </c>
      <c r="W329" s="10">
        <f t="shared" si="38"/>
        <v>0</v>
      </c>
      <c r="X329" s="11">
        <f t="shared" si="38"/>
        <v>0</v>
      </c>
      <c r="Y329" s="12">
        <f t="shared" si="38"/>
        <v>0</v>
      </c>
      <c r="Z329" s="13">
        <f t="shared" si="38"/>
        <v>0</v>
      </c>
    </row>
    <row r="330" spans="2:26" x14ac:dyDescent="0.25">
      <c r="B330" s="4">
        <v>328</v>
      </c>
      <c r="C330" s="4">
        <f t="array" ref="C330">INDEX(Sheet1!$B$2:$F$22000,SMALL(IF(Sheet1!$A$2:$A$22000=$A$1,ROW(Sheet1!$B$2:$B$22000)),ROW($A328:$F328))-1,2)</f>
        <v>0</v>
      </c>
      <c r="D330" s="4">
        <f t="array" ref="D330">INDEX(Sheet1!$B$2:$F$22000,SMALL(IF(Sheet1!$A$2:$A$22000=$A$1,ROW(Sheet1!$B$2:$B$22000)),ROW($A328:$F328))-1,3)</f>
        <v>0</v>
      </c>
      <c r="E330" s="4">
        <f t="array" ref="E330">INDEX(Sheet1!$B$2:$F$22000,SMALL(IF(Sheet1!$A$2:$A$22000=$A$1,ROW(Sheet1!$B$2:$B$22000)),ROW($A328:$F328))-1,4)</f>
        <v>0</v>
      </c>
      <c r="F330" s="4">
        <f t="array" ref="F330">INDEX(Sheet1!$B$2:$F$22000,SMALL(IF(Sheet1!$A$2:$A$22000=$A$1,ROW(Sheet1!$B$2:$B$22000)),ROW($A328:$F328))-1,5)</f>
        <v>0</v>
      </c>
      <c r="M330" s="9">
        <v>328</v>
      </c>
      <c r="N330" s="10">
        <f t="shared" si="34"/>
        <v>0</v>
      </c>
      <c r="O330" s="11">
        <f t="shared" si="35"/>
        <v>0</v>
      </c>
      <c r="P330" s="12">
        <f t="shared" si="36"/>
        <v>0</v>
      </c>
      <c r="Q330" s="13">
        <f t="shared" si="37"/>
        <v>0</v>
      </c>
      <c r="V330" s="14">
        <f t="shared" si="33"/>
        <v>0.640625</v>
      </c>
      <c r="W330" s="10">
        <f t="shared" si="38"/>
        <v>0</v>
      </c>
      <c r="X330" s="11">
        <f t="shared" si="38"/>
        <v>0</v>
      </c>
      <c r="Y330" s="12">
        <f t="shared" si="38"/>
        <v>0</v>
      </c>
      <c r="Z330" s="13">
        <f t="shared" si="38"/>
        <v>0</v>
      </c>
    </row>
    <row r="331" spans="2:26" x14ac:dyDescent="0.25">
      <c r="B331" s="4">
        <v>329</v>
      </c>
      <c r="C331" s="4">
        <f t="array" ref="C331">INDEX(Sheet1!$B$2:$F$22000,SMALL(IF(Sheet1!$A$2:$A$22000=$A$1,ROW(Sheet1!$B$2:$B$22000)),ROW($A329:$F329))-1,2)</f>
        <v>0</v>
      </c>
      <c r="D331" s="4">
        <f t="array" ref="D331">INDEX(Sheet1!$B$2:$F$22000,SMALL(IF(Sheet1!$A$2:$A$22000=$A$1,ROW(Sheet1!$B$2:$B$22000)),ROW($A329:$F329))-1,3)</f>
        <v>0</v>
      </c>
      <c r="E331" s="4">
        <f t="array" ref="E331">INDEX(Sheet1!$B$2:$F$22000,SMALL(IF(Sheet1!$A$2:$A$22000=$A$1,ROW(Sheet1!$B$2:$B$22000)),ROW($A329:$F329))-1,4)</f>
        <v>0</v>
      </c>
      <c r="F331" s="4">
        <f t="array" ref="F331">INDEX(Sheet1!$B$2:$F$22000,SMALL(IF(Sheet1!$A$2:$A$22000=$A$1,ROW(Sheet1!$B$2:$B$22000)),ROW($A329:$F329))-1,5)</f>
        <v>0</v>
      </c>
      <c r="M331" s="9">
        <v>329</v>
      </c>
      <c r="N331" s="10">
        <f t="shared" si="34"/>
        <v>0</v>
      </c>
      <c r="O331" s="11">
        <f t="shared" si="35"/>
        <v>0</v>
      </c>
      <c r="P331" s="12">
        <f t="shared" si="36"/>
        <v>0</v>
      </c>
      <c r="Q331" s="13">
        <f t="shared" si="37"/>
        <v>0</v>
      </c>
      <c r="V331" s="14">
        <f t="shared" si="33"/>
        <v>0.642578125</v>
      </c>
      <c r="W331" s="10">
        <f t="shared" si="38"/>
        <v>0</v>
      </c>
      <c r="X331" s="11">
        <f t="shared" si="38"/>
        <v>0</v>
      </c>
      <c r="Y331" s="12">
        <f t="shared" si="38"/>
        <v>0</v>
      </c>
      <c r="Z331" s="13">
        <f t="shared" si="38"/>
        <v>0</v>
      </c>
    </row>
    <row r="332" spans="2:26" x14ac:dyDescent="0.25">
      <c r="B332" s="4">
        <v>330</v>
      </c>
      <c r="C332" s="4">
        <f t="array" ref="C332">INDEX(Sheet1!$B$2:$F$22000,SMALL(IF(Sheet1!$A$2:$A$22000=$A$1,ROW(Sheet1!$B$2:$B$22000)),ROW($A330:$F330))-1,2)</f>
        <v>0</v>
      </c>
      <c r="D332" s="4">
        <f t="array" ref="D332">INDEX(Sheet1!$B$2:$F$22000,SMALL(IF(Sheet1!$A$2:$A$22000=$A$1,ROW(Sheet1!$B$2:$B$22000)),ROW($A330:$F330))-1,3)</f>
        <v>0</v>
      </c>
      <c r="E332" s="4">
        <f t="array" ref="E332">INDEX(Sheet1!$B$2:$F$22000,SMALL(IF(Sheet1!$A$2:$A$22000=$A$1,ROW(Sheet1!$B$2:$B$22000)),ROW($A330:$F330))-1,4)</f>
        <v>0</v>
      </c>
      <c r="F332" s="4">
        <f t="array" ref="F332">INDEX(Sheet1!$B$2:$F$22000,SMALL(IF(Sheet1!$A$2:$A$22000=$A$1,ROW(Sheet1!$B$2:$B$22000)),ROW($A330:$F330))-1,5)</f>
        <v>0</v>
      </c>
      <c r="M332" s="9">
        <v>330</v>
      </c>
      <c r="N332" s="10">
        <f t="shared" si="34"/>
        <v>0</v>
      </c>
      <c r="O332" s="11">
        <f t="shared" si="35"/>
        <v>0</v>
      </c>
      <c r="P332" s="12">
        <f t="shared" si="36"/>
        <v>0</v>
      </c>
      <c r="Q332" s="13">
        <f t="shared" si="37"/>
        <v>0</v>
      </c>
      <c r="V332" s="14">
        <f t="shared" si="33"/>
        <v>0.64453125</v>
      </c>
      <c r="W332" s="10">
        <f t="shared" si="38"/>
        <v>0</v>
      </c>
      <c r="X332" s="11">
        <f t="shared" si="38"/>
        <v>0</v>
      </c>
      <c r="Y332" s="12">
        <f t="shared" si="38"/>
        <v>0</v>
      </c>
      <c r="Z332" s="13">
        <f t="shared" si="38"/>
        <v>0</v>
      </c>
    </row>
    <row r="333" spans="2:26" x14ac:dyDescent="0.25">
      <c r="B333" s="4">
        <v>331</v>
      </c>
      <c r="C333" s="4">
        <f t="array" ref="C333">INDEX(Sheet1!$B$2:$F$22000,SMALL(IF(Sheet1!$A$2:$A$22000=$A$1,ROW(Sheet1!$B$2:$B$22000)),ROW($A331:$F331))-1,2)</f>
        <v>0</v>
      </c>
      <c r="D333" s="4">
        <f t="array" ref="D333">INDEX(Sheet1!$B$2:$F$22000,SMALL(IF(Sheet1!$A$2:$A$22000=$A$1,ROW(Sheet1!$B$2:$B$22000)),ROW($A331:$F331))-1,3)</f>
        <v>0</v>
      </c>
      <c r="E333" s="4">
        <f t="array" ref="E333">INDEX(Sheet1!$B$2:$F$22000,SMALL(IF(Sheet1!$A$2:$A$22000=$A$1,ROW(Sheet1!$B$2:$B$22000)),ROW($A331:$F331))-1,4)</f>
        <v>0</v>
      </c>
      <c r="F333" s="4">
        <f t="array" ref="F333">INDEX(Sheet1!$B$2:$F$22000,SMALL(IF(Sheet1!$A$2:$A$22000=$A$1,ROW(Sheet1!$B$2:$B$22000)),ROW($A331:$F331))-1,5)</f>
        <v>0</v>
      </c>
      <c r="M333" s="9">
        <v>331</v>
      </c>
      <c r="N333" s="10">
        <f t="shared" si="34"/>
        <v>0</v>
      </c>
      <c r="O333" s="11">
        <f t="shared" si="35"/>
        <v>0</v>
      </c>
      <c r="P333" s="12">
        <f t="shared" si="36"/>
        <v>0</v>
      </c>
      <c r="Q333" s="13">
        <f t="shared" si="37"/>
        <v>0</v>
      </c>
      <c r="V333" s="14">
        <f t="shared" si="33"/>
        <v>0.646484375</v>
      </c>
      <c r="W333" s="10">
        <f t="shared" si="38"/>
        <v>0</v>
      </c>
      <c r="X333" s="11">
        <f t="shared" si="38"/>
        <v>0</v>
      </c>
      <c r="Y333" s="12">
        <f t="shared" si="38"/>
        <v>0</v>
      </c>
      <c r="Z333" s="13">
        <f t="shared" si="38"/>
        <v>0</v>
      </c>
    </row>
    <row r="334" spans="2:26" x14ac:dyDescent="0.25">
      <c r="B334" s="4">
        <v>332</v>
      </c>
      <c r="C334" s="4">
        <f t="array" ref="C334">INDEX(Sheet1!$B$2:$F$22000,SMALL(IF(Sheet1!$A$2:$A$22000=$A$1,ROW(Sheet1!$B$2:$B$22000)),ROW($A332:$F332))-1,2)</f>
        <v>0</v>
      </c>
      <c r="D334" s="4">
        <f t="array" ref="D334">INDEX(Sheet1!$B$2:$F$22000,SMALL(IF(Sheet1!$A$2:$A$22000=$A$1,ROW(Sheet1!$B$2:$B$22000)),ROW($A332:$F332))-1,3)</f>
        <v>0</v>
      </c>
      <c r="E334" s="4">
        <f t="array" ref="E334">INDEX(Sheet1!$B$2:$F$22000,SMALL(IF(Sheet1!$A$2:$A$22000=$A$1,ROW(Sheet1!$B$2:$B$22000)),ROW($A332:$F332))-1,4)</f>
        <v>0</v>
      </c>
      <c r="F334" s="4">
        <f t="array" ref="F334">INDEX(Sheet1!$B$2:$F$22000,SMALL(IF(Sheet1!$A$2:$A$22000=$A$1,ROW(Sheet1!$B$2:$B$22000)),ROW($A332:$F332))-1,5)</f>
        <v>0</v>
      </c>
      <c r="M334" s="9">
        <v>332</v>
      </c>
      <c r="N334" s="10">
        <f t="shared" si="34"/>
        <v>0</v>
      </c>
      <c r="O334" s="11">
        <f t="shared" si="35"/>
        <v>0</v>
      </c>
      <c r="P334" s="12">
        <f t="shared" si="36"/>
        <v>0</v>
      </c>
      <c r="Q334" s="13">
        <f t="shared" si="37"/>
        <v>0</v>
      </c>
      <c r="V334" s="14">
        <f t="shared" si="33"/>
        <v>0.6484375</v>
      </c>
      <c r="W334" s="10">
        <f t="shared" si="38"/>
        <v>0</v>
      </c>
      <c r="X334" s="11">
        <f t="shared" si="38"/>
        <v>0</v>
      </c>
      <c r="Y334" s="12">
        <f t="shared" si="38"/>
        <v>0</v>
      </c>
      <c r="Z334" s="13">
        <f t="shared" si="38"/>
        <v>0</v>
      </c>
    </row>
    <row r="335" spans="2:26" x14ac:dyDescent="0.25">
      <c r="B335" s="4">
        <v>333</v>
      </c>
      <c r="C335" s="4">
        <f t="array" ref="C335">INDEX(Sheet1!$B$2:$F$22000,SMALL(IF(Sheet1!$A$2:$A$22000=$A$1,ROW(Sheet1!$B$2:$B$22000)),ROW($A333:$F333))-1,2)</f>
        <v>0</v>
      </c>
      <c r="D335" s="4">
        <f t="array" ref="D335">INDEX(Sheet1!$B$2:$F$22000,SMALL(IF(Sheet1!$A$2:$A$22000=$A$1,ROW(Sheet1!$B$2:$B$22000)),ROW($A333:$F333))-1,3)</f>
        <v>0</v>
      </c>
      <c r="E335" s="4">
        <f t="array" ref="E335">INDEX(Sheet1!$B$2:$F$22000,SMALL(IF(Sheet1!$A$2:$A$22000=$A$1,ROW(Sheet1!$B$2:$B$22000)),ROW($A333:$F333))-1,4)</f>
        <v>0</v>
      </c>
      <c r="F335" s="4">
        <f t="array" ref="F335">INDEX(Sheet1!$B$2:$F$22000,SMALL(IF(Sheet1!$A$2:$A$22000=$A$1,ROW(Sheet1!$B$2:$B$22000)),ROW($A333:$F333))-1,5)</f>
        <v>0</v>
      </c>
      <c r="M335" s="9">
        <v>333</v>
      </c>
      <c r="N335" s="10">
        <f t="shared" si="34"/>
        <v>0</v>
      </c>
      <c r="O335" s="11">
        <f t="shared" si="35"/>
        <v>0</v>
      </c>
      <c r="P335" s="12">
        <f t="shared" si="36"/>
        <v>0</v>
      </c>
      <c r="Q335" s="13">
        <f t="shared" si="37"/>
        <v>0</v>
      </c>
      <c r="V335" s="14">
        <f t="shared" si="33"/>
        <v>0.650390625</v>
      </c>
      <c r="W335" s="10">
        <f t="shared" si="38"/>
        <v>0</v>
      </c>
      <c r="X335" s="11">
        <f t="shared" si="38"/>
        <v>0</v>
      </c>
      <c r="Y335" s="12">
        <f t="shared" si="38"/>
        <v>0</v>
      </c>
      <c r="Z335" s="13">
        <f t="shared" si="38"/>
        <v>0</v>
      </c>
    </row>
    <row r="336" spans="2:26" x14ac:dyDescent="0.25">
      <c r="B336" s="4">
        <v>334</v>
      </c>
      <c r="C336" s="4">
        <f t="array" ref="C336">INDEX(Sheet1!$B$2:$F$22000,SMALL(IF(Sheet1!$A$2:$A$22000=$A$1,ROW(Sheet1!$B$2:$B$22000)),ROW($A334:$F334))-1,2)</f>
        <v>0</v>
      </c>
      <c r="D336" s="4">
        <f t="array" ref="D336">INDEX(Sheet1!$B$2:$F$22000,SMALL(IF(Sheet1!$A$2:$A$22000=$A$1,ROW(Sheet1!$B$2:$B$22000)),ROW($A334:$F334))-1,3)</f>
        <v>0</v>
      </c>
      <c r="E336" s="4">
        <f t="array" ref="E336">INDEX(Sheet1!$B$2:$F$22000,SMALL(IF(Sheet1!$A$2:$A$22000=$A$1,ROW(Sheet1!$B$2:$B$22000)),ROW($A334:$F334))-1,4)</f>
        <v>0</v>
      </c>
      <c r="F336" s="4">
        <f t="array" ref="F336">INDEX(Sheet1!$B$2:$F$22000,SMALL(IF(Sheet1!$A$2:$A$22000=$A$1,ROW(Sheet1!$B$2:$B$22000)),ROW($A334:$F334))-1,5)</f>
        <v>0</v>
      </c>
      <c r="M336" s="9">
        <v>334</v>
      </c>
      <c r="N336" s="10">
        <f t="shared" si="34"/>
        <v>0</v>
      </c>
      <c r="O336" s="11">
        <f t="shared" si="35"/>
        <v>0</v>
      </c>
      <c r="P336" s="12">
        <f t="shared" si="36"/>
        <v>0</v>
      </c>
      <c r="Q336" s="13">
        <f t="shared" si="37"/>
        <v>0</v>
      </c>
      <c r="V336" s="14">
        <f t="shared" si="33"/>
        <v>0.65234375</v>
      </c>
      <c r="W336" s="10">
        <f t="shared" si="38"/>
        <v>0</v>
      </c>
      <c r="X336" s="11">
        <f t="shared" si="38"/>
        <v>0</v>
      </c>
      <c r="Y336" s="12">
        <f t="shared" si="38"/>
        <v>0</v>
      </c>
      <c r="Z336" s="13">
        <f t="shared" si="38"/>
        <v>0</v>
      </c>
    </row>
    <row r="337" spans="2:26" x14ac:dyDescent="0.25">
      <c r="B337" s="4">
        <v>335</v>
      </c>
      <c r="C337" s="4">
        <f t="array" ref="C337">INDEX(Sheet1!$B$2:$F$22000,SMALL(IF(Sheet1!$A$2:$A$22000=$A$1,ROW(Sheet1!$B$2:$B$22000)),ROW($A335:$F335))-1,2)</f>
        <v>0</v>
      </c>
      <c r="D337" s="4">
        <f t="array" ref="D337">INDEX(Sheet1!$B$2:$F$22000,SMALL(IF(Sheet1!$A$2:$A$22000=$A$1,ROW(Sheet1!$B$2:$B$22000)),ROW($A335:$F335))-1,3)</f>
        <v>0</v>
      </c>
      <c r="E337" s="4">
        <f t="array" ref="E337">INDEX(Sheet1!$B$2:$F$22000,SMALL(IF(Sheet1!$A$2:$A$22000=$A$1,ROW(Sheet1!$B$2:$B$22000)),ROW($A335:$F335))-1,4)</f>
        <v>0</v>
      </c>
      <c r="F337" s="4">
        <f t="array" ref="F337">INDEX(Sheet1!$B$2:$F$22000,SMALL(IF(Sheet1!$A$2:$A$22000=$A$1,ROW(Sheet1!$B$2:$B$22000)),ROW($A335:$F335))-1,5)</f>
        <v>0</v>
      </c>
      <c r="M337" s="9">
        <v>335</v>
      </c>
      <c r="N337" s="10">
        <f t="shared" si="34"/>
        <v>0</v>
      </c>
      <c r="O337" s="11">
        <f t="shared" si="35"/>
        <v>0</v>
      </c>
      <c r="P337" s="12">
        <f t="shared" si="36"/>
        <v>0</v>
      </c>
      <c r="Q337" s="13">
        <f t="shared" si="37"/>
        <v>0</v>
      </c>
      <c r="V337" s="14">
        <f t="shared" si="33"/>
        <v>0.654296875</v>
      </c>
      <c r="W337" s="10">
        <f t="shared" si="38"/>
        <v>0</v>
      </c>
      <c r="X337" s="11">
        <f t="shared" si="38"/>
        <v>0</v>
      </c>
      <c r="Y337" s="12">
        <f t="shared" si="38"/>
        <v>0</v>
      </c>
      <c r="Z337" s="13">
        <f t="shared" si="38"/>
        <v>0</v>
      </c>
    </row>
    <row r="338" spans="2:26" x14ac:dyDescent="0.25">
      <c r="B338" s="4">
        <v>336</v>
      </c>
      <c r="C338" s="4">
        <f t="array" ref="C338">INDEX(Sheet1!$B$2:$F$22000,SMALL(IF(Sheet1!$A$2:$A$22000=$A$1,ROW(Sheet1!$B$2:$B$22000)),ROW($A336:$F336))-1,2)</f>
        <v>0</v>
      </c>
      <c r="D338" s="4">
        <f t="array" ref="D338">INDEX(Sheet1!$B$2:$F$22000,SMALL(IF(Sheet1!$A$2:$A$22000=$A$1,ROW(Sheet1!$B$2:$B$22000)),ROW($A336:$F336))-1,3)</f>
        <v>0</v>
      </c>
      <c r="E338" s="4">
        <f t="array" ref="E338">INDEX(Sheet1!$B$2:$F$22000,SMALL(IF(Sheet1!$A$2:$A$22000=$A$1,ROW(Sheet1!$B$2:$B$22000)),ROW($A336:$F336))-1,4)</f>
        <v>0</v>
      </c>
      <c r="F338" s="4">
        <f t="array" ref="F338">INDEX(Sheet1!$B$2:$F$22000,SMALL(IF(Sheet1!$A$2:$A$22000=$A$1,ROW(Sheet1!$B$2:$B$22000)),ROW($A336:$F336))-1,5)</f>
        <v>0</v>
      </c>
      <c r="M338" s="9">
        <v>336</v>
      </c>
      <c r="N338" s="10">
        <f t="shared" si="34"/>
        <v>0</v>
      </c>
      <c r="O338" s="11">
        <f t="shared" si="35"/>
        <v>0</v>
      </c>
      <c r="P338" s="12">
        <f t="shared" si="36"/>
        <v>0</v>
      </c>
      <c r="Q338" s="13">
        <f t="shared" si="37"/>
        <v>0</v>
      </c>
      <c r="V338" s="14">
        <f t="shared" si="33"/>
        <v>0.65625</v>
      </c>
      <c r="W338" s="10">
        <f t="shared" si="38"/>
        <v>0</v>
      </c>
      <c r="X338" s="11">
        <f t="shared" si="38"/>
        <v>0</v>
      </c>
      <c r="Y338" s="12">
        <f t="shared" si="38"/>
        <v>0</v>
      </c>
      <c r="Z338" s="13">
        <f t="shared" si="38"/>
        <v>0</v>
      </c>
    </row>
    <row r="339" spans="2:26" x14ac:dyDescent="0.25">
      <c r="B339" s="4">
        <v>337</v>
      </c>
      <c r="C339" s="4">
        <f t="array" ref="C339">INDEX(Sheet1!$B$2:$F$22000,SMALL(IF(Sheet1!$A$2:$A$22000=$A$1,ROW(Sheet1!$B$2:$B$22000)),ROW($A337:$F337))-1,2)</f>
        <v>0</v>
      </c>
      <c r="D339" s="4">
        <f t="array" ref="D339">INDEX(Sheet1!$B$2:$F$22000,SMALL(IF(Sheet1!$A$2:$A$22000=$A$1,ROW(Sheet1!$B$2:$B$22000)),ROW($A337:$F337))-1,3)</f>
        <v>0</v>
      </c>
      <c r="E339" s="4">
        <f t="array" ref="E339">INDEX(Sheet1!$B$2:$F$22000,SMALL(IF(Sheet1!$A$2:$A$22000=$A$1,ROW(Sheet1!$B$2:$B$22000)),ROW($A337:$F337))-1,4)</f>
        <v>0</v>
      </c>
      <c r="F339" s="4">
        <f t="array" ref="F339">INDEX(Sheet1!$B$2:$F$22000,SMALL(IF(Sheet1!$A$2:$A$22000=$A$1,ROW(Sheet1!$B$2:$B$22000)),ROW($A337:$F337))-1,5)</f>
        <v>0</v>
      </c>
      <c r="M339" s="9">
        <v>337</v>
      </c>
      <c r="N339" s="10">
        <f t="shared" si="34"/>
        <v>0</v>
      </c>
      <c r="O339" s="11">
        <f t="shared" si="35"/>
        <v>0</v>
      </c>
      <c r="P339" s="12">
        <f t="shared" si="36"/>
        <v>0</v>
      </c>
      <c r="Q339" s="13">
        <f t="shared" si="37"/>
        <v>0</v>
      </c>
      <c r="V339" s="14">
        <f t="shared" si="33"/>
        <v>0.658203125</v>
      </c>
      <c r="W339" s="10">
        <f t="shared" si="38"/>
        <v>0</v>
      </c>
      <c r="X339" s="11">
        <f t="shared" si="38"/>
        <v>0</v>
      </c>
      <c r="Y339" s="12">
        <f t="shared" si="38"/>
        <v>0</v>
      </c>
      <c r="Z339" s="13">
        <f t="shared" si="38"/>
        <v>0</v>
      </c>
    </row>
    <row r="340" spans="2:26" x14ac:dyDescent="0.25">
      <c r="B340" s="4">
        <v>338</v>
      </c>
      <c r="C340" s="4">
        <f t="array" ref="C340">INDEX(Sheet1!$B$2:$F$22000,SMALL(IF(Sheet1!$A$2:$A$22000=$A$1,ROW(Sheet1!$B$2:$B$22000)),ROW($A338:$F338))-1,2)</f>
        <v>0</v>
      </c>
      <c r="D340" s="4">
        <f t="array" ref="D340">INDEX(Sheet1!$B$2:$F$22000,SMALL(IF(Sheet1!$A$2:$A$22000=$A$1,ROW(Sheet1!$B$2:$B$22000)),ROW($A338:$F338))-1,3)</f>
        <v>0</v>
      </c>
      <c r="E340" s="4">
        <f t="array" ref="E340">INDEX(Sheet1!$B$2:$F$22000,SMALL(IF(Sheet1!$A$2:$A$22000=$A$1,ROW(Sheet1!$B$2:$B$22000)),ROW($A338:$F338))-1,4)</f>
        <v>0</v>
      </c>
      <c r="F340" s="4">
        <f t="array" ref="F340">INDEX(Sheet1!$B$2:$F$22000,SMALL(IF(Sheet1!$A$2:$A$22000=$A$1,ROW(Sheet1!$B$2:$B$22000)),ROW($A338:$F338))-1,5)</f>
        <v>0</v>
      </c>
      <c r="M340" s="9">
        <v>338</v>
      </c>
      <c r="N340" s="10">
        <f t="shared" si="34"/>
        <v>0</v>
      </c>
      <c r="O340" s="11">
        <f t="shared" si="35"/>
        <v>0</v>
      </c>
      <c r="P340" s="12">
        <f t="shared" si="36"/>
        <v>0</v>
      </c>
      <c r="Q340" s="13">
        <f t="shared" si="37"/>
        <v>0</v>
      </c>
      <c r="V340" s="14">
        <f t="shared" si="33"/>
        <v>0.66015625</v>
      </c>
      <c r="W340" s="10">
        <f t="shared" si="38"/>
        <v>0</v>
      </c>
      <c r="X340" s="11">
        <f t="shared" si="38"/>
        <v>0</v>
      </c>
      <c r="Y340" s="12">
        <f t="shared" si="38"/>
        <v>0</v>
      </c>
      <c r="Z340" s="13">
        <f t="shared" si="38"/>
        <v>0</v>
      </c>
    </row>
    <row r="341" spans="2:26" x14ac:dyDescent="0.25">
      <c r="B341" s="4">
        <v>339</v>
      </c>
      <c r="C341" s="4">
        <f t="array" ref="C341">INDEX(Sheet1!$B$2:$F$22000,SMALL(IF(Sheet1!$A$2:$A$22000=$A$1,ROW(Sheet1!$B$2:$B$22000)),ROW($A339:$F339))-1,2)</f>
        <v>0</v>
      </c>
      <c r="D341" s="4">
        <f t="array" ref="D341">INDEX(Sheet1!$B$2:$F$22000,SMALL(IF(Sheet1!$A$2:$A$22000=$A$1,ROW(Sheet1!$B$2:$B$22000)),ROW($A339:$F339))-1,3)</f>
        <v>0</v>
      </c>
      <c r="E341" s="4">
        <f t="array" ref="E341">INDEX(Sheet1!$B$2:$F$22000,SMALL(IF(Sheet1!$A$2:$A$22000=$A$1,ROW(Sheet1!$B$2:$B$22000)),ROW($A339:$F339))-1,4)</f>
        <v>0</v>
      </c>
      <c r="F341" s="4">
        <f t="array" ref="F341">INDEX(Sheet1!$B$2:$F$22000,SMALL(IF(Sheet1!$A$2:$A$22000=$A$1,ROW(Sheet1!$B$2:$B$22000)),ROW($A339:$F339))-1,5)</f>
        <v>0</v>
      </c>
      <c r="M341" s="9">
        <v>339</v>
      </c>
      <c r="N341" s="10">
        <f t="shared" si="34"/>
        <v>0</v>
      </c>
      <c r="O341" s="11">
        <f t="shared" si="35"/>
        <v>0</v>
      </c>
      <c r="P341" s="12">
        <f t="shared" si="36"/>
        <v>0</v>
      </c>
      <c r="Q341" s="13">
        <f t="shared" si="37"/>
        <v>0</v>
      </c>
      <c r="V341" s="14">
        <f t="shared" si="33"/>
        <v>0.662109375</v>
      </c>
      <c r="W341" s="10">
        <f t="shared" si="38"/>
        <v>0</v>
      </c>
      <c r="X341" s="11">
        <f t="shared" si="38"/>
        <v>0</v>
      </c>
      <c r="Y341" s="12">
        <f t="shared" si="38"/>
        <v>0</v>
      </c>
      <c r="Z341" s="13">
        <f t="shared" si="38"/>
        <v>0</v>
      </c>
    </row>
    <row r="342" spans="2:26" x14ac:dyDescent="0.25">
      <c r="B342" s="4">
        <v>340</v>
      </c>
      <c r="C342" s="4">
        <f t="array" ref="C342">INDEX(Sheet1!$B$2:$F$22000,SMALL(IF(Sheet1!$A$2:$A$22000=$A$1,ROW(Sheet1!$B$2:$B$22000)),ROW($A340:$F340))-1,2)</f>
        <v>0</v>
      </c>
      <c r="D342" s="4">
        <f t="array" ref="D342">INDEX(Sheet1!$B$2:$F$22000,SMALL(IF(Sheet1!$A$2:$A$22000=$A$1,ROW(Sheet1!$B$2:$B$22000)),ROW($A340:$F340))-1,3)</f>
        <v>0</v>
      </c>
      <c r="E342" s="4">
        <f t="array" ref="E342">INDEX(Sheet1!$B$2:$F$22000,SMALL(IF(Sheet1!$A$2:$A$22000=$A$1,ROW(Sheet1!$B$2:$B$22000)),ROW($A340:$F340))-1,4)</f>
        <v>0</v>
      </c>
      <c r="F342" s="4">
        <f t="array" ref="F342">INDEX(Sheet1!$B$2:$F$22000,SMALL(IF(Sheet1!$A$2:$A$22000=$A$1,ROW(Sheet1!$B$2:$B$22000)),ROW($A340:$F340))-1,5)</f>
        <v>0</v>
      </c>
      <c r="M342" s="9">
        <v>340</v>
      </c>
      <c r="N342" s="10">
        <f t="shared" si="34"/>
        <v>0</v>
      </c>
      <c r="O342" s="11">
        <f t="shared" si="35"/>
        <v>0</v>
      </c>
      <c r="P342" s="12">
        <f t="shared" si="36"/>
        <v>0</v>
      </c>
      <c r="Q342" s="13">
        <f t="shared" si="37"/>
        <v>0</v>
      </c>
      <c r="V342" s="14">
        <f t="shared" si="33"/>
        <v>0.6640625</v>
      </c>
      <c r="W342" s="10">
        <f t="shared" si="38"/>
        <v>0</v>
      </c>
      <c r="X342" s="11">
        <f t="shared" si="38"/>
        <v>0</v>
      </c>
      <c r="Y342" s="12">
        <f t="shared" si="38"/>
        <v>0</v>
      </c>
      <c r="Z342" s="13">
        <f t="shared" si="38"/>
        <v>0</v>
      </c>
    </row>
    <row r="343" spans="2:26" x14ac:dyDescent="0.25">
      <c r="B343" s="4">
        <v>341</v>
      </c>
      <c r="C343" s="4">
        <f t="array" ref="C343">INDEX(Sheet1!$B$2:$F$22000,SMALL(IF(Sheet1!$A$2:$A$22000=$A$1,ROW(Sheet1!$B$2:$B$22000)),ROW($A341:$F341))-1,2)</f>
        <v>0</v>
      </c>
      <c r="D343" s="4">
        <f t="array" ref="D343">INDEX(Sheet1!$B$2:$F$22000,SMALL(IF(Sheet1!$A$2:$A$22000=$A$1,ROW(Sheet1!$B$2:$B$22000)),ROW($A341:$F341))-1,3)</f>
        <v>0</v>
      </c>
      <c r="E343" s="4">
        <f t="array" ref="E343">INDEX(Sheet1!$B$2:$F$22000,SMALL(IF(Sheet1!$A$2:$A$22000=$A$1,ROW(Sheet1!$B$2:$B$22000)),ROW($A341:$F341))-1,4)</f>
        <v>0</v>
      </c>
      <c r="F343" s="4">
        <f t="array" ref="F343">INDEX(Sheet1!$B$2:$F$22000,SMALL(IF(Sheet1!$A$2:$A$22000=$A$1,ROW(Sheet1!$B$2:$B$22000)),ROW($A341:$F341))-1,5)</f>
        <v>0</v>
      </c>
      <c r="M343" s="9">
        <v>341</v>
      </c>
      <c r="N343" s="10">
        <f t="shared" si="34"/>
        <v>0</v>
      </c>
      <c r="O343" s="11">
        <f t="shared" si="35"/>
        <v>0</v>
      </c>
      <c r="P343" s="12">
        <f t="shared" si="36"/>
        <v>0</v>
      </c>
      <c r="Q343" s="13">
        <f t="shared" si="37"/>
        <v>0</v>
      </c>
      <c r="V343" s="14">
        <f t="shared" si="33"/>
        <v>0.666015625</v>
      </c>
      <c r="W343" s="10">
        <f t="shared" si="38"/>
        <v>0</v>
      </c>
      <c r="X343" s="11">
        <f t="shared" si="38"/>
        <v>0</v>
      </c>
      <c r="Y343" s="12">
        <f t="shared" si="38"/>
        <v>0</v>
      </c>
      <c r="Z343" s="13">
        <f t="shared" si="38"/>
        <v>0</v>
      </c>
    </row>
    <row r="344" spans="2:26" x14ac:dyDescent="0.25">
      <c r="B344" s="4">
        <v>342</v>
      </c>
      <c r="C344" s="4">
        <f t="array" ref="C344">INDEX(Sheet1!$B$2:$F$22000,SMALL(IF(Sheet1!$A$2:$A$22000=$A$1,ROW(Sheet1!$B$2:$B$22000)),ROW($A342:$F342))-1,2)</f>
        <v>0</v>
      </c>
      <c r="D344" s="4">
        <f t="array" ref="D344">INDEX(Sheet1!$B$2:$F$22000,SMALL(IF(Sheet1!$A$2:$A$22000=$A$1,ROW(Sheet1!$B$2:$B$22000)),ROW($A342:$F342))-1,3)</f>
        <v>0</v>
      </c>
      <c r="E344" s="4">
        <f t="array" ref="E344">INDEX(Sheet1!$B$2:$F$22000,SMALL(IF(Sheet1!$A$2:$A$22000=$A$1,ROW(Sheet1!$B$2:$B$22000)),ROW($A342:$F342))-1,4)</f>
        <v>0</v>
      </c>
      <c r="F344" s="4">
        <f t="array" ref="F344">INDEX(Sheet1!$B$2:$F$22000,SMALL(IF(Sheet1!$A$2:$A$22000=$A$1,ROW(Sheet1!$B$2:$B$22000)),ROW($A342:$F342))-1,5)</f>
        <v>0</v>
      </c>
      <c r="M344" s="9">
        <v>342</v>
      </c>
      <c r="N344" s="10">
        <f t="shared" si="34"/>
        <v>0</v>
      </c>
      <c r="O344" s="11">
        <f t="shared" si="35"/>
        <v>0</v>
      </c>
      <c r="P344" s="12">
        <f t="shared" si="36"/>
        <v>0</v>
      </c>
      <c r="Q344" s="13">
        <f t="shared" si="37"/>
        <v>0</v>
      </c>
      <c r="V344" s="14">
        <f t="shared" si="33"/>
        <v>0.66796875</v>
      </c>
      <c r="W344" s="10">
        <f t="shared" si="38"/>
        <v>0</v>
      </c>
      <c r="X344" s="11">
        <f t="shared" si="38"/>
        <v>0</v>
      </c>
      <c r="Y344" s="12">
        <f t="shared" si="38"/>
        <v>0</v>
      </c>
      <c r="Z344" s="13">
        <f t="shared" si="38"/>
        <v>0</v>
      </c>
    </row>
    <row r="345" spans="2:26" x14ac:dyDescent="0.25">
      <c r="B345" s="4">
        <v>343</v>
      </c>
      <c r="C345" s="4">
        <f t="array" ref="C345">INDEX(Sheet1!$B$2:$F$22000,SMALL(IF(Sheet1!$A$2:$A$22000=$A$1,ROW(Sheet1!$B$2:$B$22000)),ROW($A343:$F343))-1,2)</f>
        <v>0</v>
      </c>
      <c r="D345" s="4">
        <f t="array" ref="D345">INDEX(Sheet1!$B$2:$F$22000,SMALL(IF(Sheet1!$A$2:$A$22000=$A$1,ROW(Sheet1!$B$2:$B$22000)),ROW($A343:$F343))-1,3)</f>
        <v>0</v>
      </c>
      <c r="E345" s="4">
        <f t="array" ref="E345">INDEX(Sheet1!$B$2:$F$22000,SMALL(IF(Sheet1!$A$2:$A$22000=$A$1,ROW(Sheet1!$B$2:$B$22000)),ROW($A343:$F343))-1,4)</f>
        <v>0</v>
      </c>
      <c r="F345" s="4">
        <f t="array" ref="F345">INDEX(Sheet1!$B$2:$F$22000,SMALL(IF(Sheet1!$A$2:$A$22000=$A$1,ROW(Sheet1!$B$2:$B$22000)),ROW($A343:$F343))-1,5)</f>
        <v>0</v>
      </c>
      <c r="M345" s="9">
        <v>343</v>
      </c>
      <c r="N345" s="10">
        <f t="shared" si="34"/>
        <v>0</v>
      </c>
      <c r="O345" s="11">
        <f t="shared" si="35"/>
        <v>0</v>
      </c>
      <c r="P345" s="12">
        <f t="shared" si="36"/>
        <v>0</v>
      </c>
      <c r="Q345" s="13">
        <f t="shared" si="37"/>
        <v>0</v>
      </c>
      <c r="V345" s="14">
        <f t="shared" si="33"/>
        <v>0.669921875</v>
      </c>
      <c r="W345" s="10">
        <f t="shared" si="38"/>
        <v>0</v>
      </c>
      <c r="X345" s="11">
        <f t="shared" si="38"/>
        <v>0</v>
      </c>
      <c r="Y345" s="12">
        <f t="shared" si="38"/>
        <v>0</v>
      </c>
      <c r="Z345" s="13">
        <f t="shared" si="38"/>
        <v>0</v>
      </c>
    </row>
    <row r="346" spans="2:26" x14ac:dyDescent="0.25">
      <c r="B346" s="4">
        <v>344</v>
      </c>
      <c r="C346" s="4">
        <f t="array" ref="C346">INDEX(Sheet1!$B$2:$F$22000,SMALL(IF(Sheet1!$A$2:$A$22000=$A$1,ROW(Sheet1!$B$2:$B$22000)),ROW($A344:$F344))-1,2)</f>
        <v>0</v>
      </c>
      <c r="D346" s="4">
        <f t="array" ref="D346">INDEX(Sheet1!$B$2:$F$22000,SMALL(IF(Sheet1!$A$2:$A$22000=$A$1,ROW(Sheet1!$B$2:$B$22000)),ROW($A344:$F344))-1,3)</f>
        <v>0</v>
      </c>
      <c r="E346" s="4">
        <f t="array" ref="E346">INDEX(Sheet1!$B$2:$F$22000,SMALL(IF(Sheet1!$A$2:$A$22000=$A$1,ROW(Sheet1!$B$2:$B$22000)),ROW($A344:$F344))-1,4)</f>
        <v>0</v>
      </c>
      <c r="F346" s="4">
        <f t="array" ref="F346">INDEX(Sheet1!$B$2:$F$22000,SMALL(IF(Sheet1!$A$2:$A$22000=$A$1,ROW(Sheet1!$B$2:$B$22000)),ROW($A344:$F344))-1,5)</f>
        <v>0</v>
      </c>
      <c r="M346" s="9">
        <v>344</v>
      </c>
      <c r="N346" s="10">
        <f t="shared" si="34"/>
        <v>0</v>
      </c>
      <c r="O346" s="11">
        <f t="shared" si="35"/>
        <v>0</v>
      </c>
      <c r="P346" s="12">
        <f t="shared" si="36"/>
        <v>0</v>
      </c>
      <c r="Q346" s="13">
        <f t="shared" si="37"/>
        <v>0</v>
      </c>
      <c r="V346" s="14">
        <f t="shared" si="33"/>
        <v>0.671875</v>
      </c>
      <c r="W346" s="10">
        <f t="shared" si="38"/>
        <v>0</v>
      </c>
      <c r="X346" s="11">
        <f t="shared" si="38"/>
        <v>0</v>
      </c>
      <c r="Y346" s="12">
        <f t="shared" si="38"/>
        <v>0</v>
      </c>
      <c r="Z346" s="13">
        <f t="shared" si="38"/>
        <v>0</v>
      </c>
    </row>
    <row r="347" spans="2:26" x14ac:dyDescent="0.25">
      <c r="B347" s="4">
        <v>345</v>
      </c>
      <c r="C347" s="4">
        <f t="array" ref="C347">INDEX(Sheet1!$B$2:$F$22000,SMALL(IF(Sheet1!$A$2:$A$22000=$A$1,ROW(Sheet1!$B$2:$B$22000)),ROW($A345:$F345))-1,2)</f>
        <v>0</v>
      </c>
      <c r="D347" s="4">
        <f t="array" ref="D347">INDEX(Sheet1!$B$2:$F$22000,SMALL(IF(Sheet1!$A$2:$A$22000=$A$1,ROW(Sheet1!$B$2:$B$22000)),ROW($A345:$F345))-1,3)</f>
        <v>0</v>
      </c>
      <c r="E347" s="4">
        <f t="array" ref="E347">INDEX(Sheet1!$B$2:$F$22000,SMALL(IF(Sheet1!$A$2:$A$22000=$A$1,ROW(Sheet1!$B$2:$B$22000)),ROW($A345:$F345))-1,4)</f>
        <v>0</v>
      </c>
      <c r="F347" s="4">
        <f t="array" ref="F347">INDEX(Sheet1!$B$2:$F$22000,SMALL(IF(Sheet1!$A$2:$A$22000=$A$1,ROW(Sheet1!$B$2:$B$22000)),ROW($A345:$F345))-1,5)</f>
        <v>0</v>
      </c>
      <c r="M347" s="9">
        <v>345</v>
      </c>
      <c r="N347" s="10">
        <f t="shared" si="34"/>
        <v>0</v>
      </c>
      <c r="O347" s="11">
        <f t="shared" si="35"/>
        <v>0</v>
      </c>
      <c r="P347" s="12">
        <f t="shared" si="36"/>
        <v>0</v>
      </c>
      <c r="Q347" s="13">
        <f t="shared" si="37"/>
        <v>0</v>
      </c>
      <c r="V347" s="14">
        <f t="shared" si="33"/>
        <v>0.673828125</v>
      </c>
      <c r="W347" s="10">
        <f t="shared" si="38"/>
        <v>0</v>
      </c>
      <c r="X347" s="11">
        <f t="shared" si="38"/>
        <v>0</v>
      </c>
      <c r="Y347" s="12">
        <f t="shared" si="38"/>
        <v>0</v>
      </c>
      <c r="Z347" s="13">
        <f t="shared" si="38"/>
        <v>0</v>
      </c>
    </row>
    <row r="348" spans="2:26" x14ac:dyDescent="0.25">
      <c r="B348" s="4">
        <v>346</v>
      </c>
      <c r="C348" s="4">
        <f t="array" ref="C348">INDEX(Sheet1!$B$2:$F$22000,SMALL(IF(Sheet1!$A$2:$A$22000=$A$1,ROW(Sheet1!$B$2:$B$22000)),ROW($A346:$F346))-1,2)</f>
        <v>0</v>
      </c>
      <c r="D348" s="4">
        <f t="array" ref="D348">INDEX(Sheet1!$B$2:$F$22000,SMALL(IF(Sheet1!$A$2:$A$22000=$A$1,ROW(Sheet1!$B$2:$B$22000)),ROW($A346:$F346))-1,3)</f>
        <v>0</v>
      </c>
      <c r="E348" s="4">
        <f t="array" ref="E348">INDEX(Sheet1!$B$2:$F$22000,SMALL(IF(Sheet1!$A$2:$A$22000=$A$1,ROW(Sheet1!$B$2:$B$22000)),ROW($A346:$F346))-1,4)</f>
        <v>0</v>
      </c>
      <c r="F348" s="4">
        <f t="array" ref="F348">INDEX(Sheet1!$B$2:$F$22000,SMALL(IF(Sheet1!$A$2:$A$22000=$A$1,ROW(Sheet1!$B$2:$B$22000)),ROW($A346:$F346))-1,5)</f>
        <v>0</v>
      </c>
      <c r="M348" s="9">
        <v>346</v>
      </c>
      <c r="N348" s="10">
        <f t="shared" si="34"/>
        <v>0</v>
      </c>
      <c r="O348" s="11">
        <f t="shared" si="35"/>
        <v>0</v>
      </c>
      <c r="P348" s="12">
        <f t="shared" si="36"/>
        <v>0</v>
      </c>
      <c r="Q348" s="13">
        <f t="shared" si="37"/>
        <v>0</v>
      </c>
      <c r="V348" s="14">
        <f t="shared" si="33"/>
        <v>0.67578125</v>
      </c>
      <c r="W348" s="10">
        <f t="shared" si="38"/>
        <v>0</v>
      </c>
      <c r="X348" s="11">
        <f t="shared" si="38"/>
        <v>0</v>
      </c>
      <c r="Y348" s="12">
        <f t="shared" si="38"/>
        <v>0</v>
      </c>
      <c r="Z348" s="13">
        <f t="shared" si="38"/>
        <v>0</v>
      </c>
    </row>
    <row r="349" spans="2:26" x14ac:dyDescent="0.25">
      <c r="B349" s="4">
        <v>347</v>
      </c>
      <c r="C349" s="4">
        <f t="array" ref="C349">INDEX(Sheet1!$B$2:$F$22000,SMALL(IF(Sheet1!$A$2:$A$22000=$A$1,ROW(Sheet1!$B$2:$B$22000)),ROW($A347:$F347))-1,2)</f>
        <v>0</v>
      </c>
      <c r="D349" s="4">
        <f t="array" ref="D349">INDEX(Sheet1!$B$2:$F$22000,SMALL(IF(Sheet1!$A$2:$A$22000=$A$1,ROW(Sheet1!$B$2:$B$22000)),ROW($A347:$F347))-1,3)</f>
        <v>0</v>
      </c>
      <c r="E349" s="4">
        <f t="array" ref="E349">INDEX(Sheet1!$B$2:$F$22000,SMALL(IF(Sheet1!$A$2:$A$22000=$A$1,ROW(Sheet1!$B$2:$B$22000)),ROW($A347:$F347))-1,4)</f>
        <v>0</v>
      </c>
      <c r="F349" s="4">
        <f t="array" ref="F349">INDEX(Sheet1!$B$2:$F$22000,SMALL(IF(Sheet1!$A$2:$A$22000=$A$1,ROW(Sheet1!$B$2:$B$22000)),ROW($A347:$F347))-1,5)</f>
        <v>0</v>
      </c>
      <c r="M349" s="9">
        <v>347</v>
      </c>
      <c r="N349" s="10">
        <f t="shared" si="34"/>
        <v>0</v>
      </c>
      <c r="O349" s="11">
        <f t="shared" si="35"/>
        <v>0</v>
      </c>
      <c r="P349" s="12">
        <f t="shared" si="36"/>
        <v>0</v>
      </c>
      <c r="Q349" s="13">
        <f t="shared" si="37"/>
        <v>0</v>
      </c>
      <c r="V349" s="14">
        <f t="shared" si="33"/>
        <v>0.677734375</v>
      </c>
      <c r="W349" s="10">
        <f t="shared" si="38"/>
        <v>0</v>
      </c>
      <c r="X349" s="11">
        <f t="shared" si="38"/>
        <v>0</v>
      </c>
      <c r="Y349" s="12">
        <f t="shared" si="38"/>
        <v>0</v>
      </c>
      <c r="Z349" s="13">
        <f t="shared" si="38"/>
        <v>0</v>
      </c>
    </row>
    <row r="350" spans="2:26" x14ac:dyDescent="0.25">
      <c r="B350" s="4">
        <v>348</v>
      </c>
      <c r="C350" s="4">
        <f t="array" ref="C350">INDEX(Sheet1!$B$2:$F$22000,SMALL(IF(Sheet1!$A$2:$A$22000=$A$1,ROW(Sheet1!$B$2:$B$22000)),ROW($A348:$F348))-1,2)</f>
        <v>0</v>
      </c>
      <c r="D350" s="4">
        <f t="array" ref="D350">INDEX(Sheet1!$B$2:$F$22000,SMALL(IF(Sheet1!$A$2:$A$22000=$A$1,ROW(Sheet1!$B$2:$B$22000)),ROW($A348:$F348))-1,3)</f>
        <v>0</v>
      </c>
      <c r="E350" s="4">
        <f t="array" ref="E350">INDEX(Sheet1!$B$2:$F$22000,SMALL(IF(Sheet1!$A$2:$A$22000=$A$1,ROW(Sheet1!$B$2:$B$22000)),ROW($A348:$F348))-1,4)</f>
        <v>0</v>
      </c>
      <c r="F350" s="4">
        <f t="array" ref="F350">INDEX(Sheet1!$B$2:$F$22000,SMALL(IF(Sheet1!$A$2:$A$22000=$A$1,ROW(Sheet1!$B$2:$B$22000)),ROW($A348:$F348))-1,5)</f>
        <v>0</v>
      </c>
      <c r="M350" s="9">
        <v>348</v>
      </c>
      <c r="N350" s="10">
        <f t="shared" si="34"/>
        <v>0</v>
      </c>
      <c r="O350" s="11">
        <f t="shared" si="35"/>
        <v>0</v>
      </c>
      <c r="P350" s="12">
        <f t="shared" si="36"/>
        <v>0</v>
      </c>
      <c r="Q350" s="13">
        <f t="shared" si="37"/>
        <v>0</v>
      </c>
      <c r="V350" s="14">
        <f t="shared" si="33"/>
        <v>0.6796875</v>
      </c>
      <c r="W350" s="10">
        <f t="shared" si="38"/>
        <v>0</v>
      </c>
      <c r="X350" s="11">
        <f t="shared" si="38"/>
        <v>0</v>
      </c>
      <c r="Y350" s="12">
        <f t="shared" si="38"/>
        <v>0</v>
      </c>
      <c r="Z350" s="13">
        <f t="shared" si="38"/>
        <v>0</v>
      </c>
    </row>
    <row r="351" spans="2:26" x14ac:dyDescent="0.25">
      <c r="B351" s="4">
        <v>349</v>
      </c>
      <c r="C351" s="4">
        <f t="array" ref="C351">INDEX(Sheet1!$B$2:$F$22000,SMALL(IF(Sheet1!$A$2:$A$22000=$A$1,ROW(Sheet1!$B$2:$B$22000)),ROW($A349:$F349))-1,2)</f>
        <v>0</v>
      </c>
      <c r="D351" s="4">
        <f t="array" ref="D351">INDEX(Sheet1!$B$2:$F$22000,SMALL(IF(Sheet1!$A$2:$A$22000=$A$1,ROW(Sheet1!$B$2:$B$22000)),ROW($A349:$F349))-1,3)</f>
        <v>0</v>
      </c>
      <c r="E351" s="4">
        <f t="array" ref="E351">INDEX(Sheet1!$B$2:$F$22000,SMALL(IF(Sheet1!$A$2:$A$22000=$A$1,ROW(Sheet1!$B$2:$B$22000)),ROW($A349:$F349))-1,4)</f>
        <v>0</v>
      </c>
      <c r="F351" s="4">
        <f t="array" ref="F351">INDEX(Sheet1!$B$2:$F$22000,SMALL(IF(Sheet1!$A$2:$A$22000=$A$1,ROW(Sheet1!$B$2:$B$22000)),ROW($A349:$F349))-1,5)</f>
        <v>0</v>
      </c>
      <c r="M351" s="9">
        <v>349</v>
      </c>
      <c r="N351" s="10">
        <f t="shared" si="34"/>
        <v>0</v>
      </c>
      <c r="O351" s="11">
        <f t="shared" si="35"/>
        <v>0</v>
      </c>
      <c r="P351" s="12">
        <f t="shared" si="36"/>
        <v>0</v>
      </c>
      <c r="Q351" s="13">
        <f t="shared" si="37"/>
        <v>0</v>
      </c>
      <c r="V351" s="14">
        <f t="shared" si="33"/>
        <v>0.681640625</v>
      </c>
      <c r="W351" s="10">
        <f t="shared" si="38"/>
        <v>0</v>
      </c>
      <c r="X351" s="11">
        <f t="shared" si="38"/>
        <v>0</v>
      </c>
      <c r="Y351" s="12">
        <f t="shared" si="38"/>
        <v>0</v>
      </c>
      <c r="Z351" s="13">
        <f t="shared" si="38"/>
        <v>0</v>
      </c>
    </row>
    <row r="352" spans="2:26" x14ac:dyDescent="0.25">
      <c r="B352" s="4">
        <v>350</v>
      </c>
      <c r="C352" s="4">
        <f t="array" ref="C352">INDEX(Sheet1!$B$2:$F$22000,SMALL(IF(Sheet1!$A$2:$A$22000=$A$1,ROW(Sheet1!$B$2:$B$22000)),ROW($A350:$F350))-1,2)</f>
        <v>0</v>
      </c>
      <c r="D352" s="4">
        <f t="array" ref="D352">INDEX(Sheet1!$B$2:$F$22000,SMALL(IF(Sheet1!$A$2:$A$22000=$A$1,ROW(Sheet1!$B$2:$B$22000)),ROW($A350:$F350))-1,3)</f>
        <v>0</v>
      </c>
      <c r="E352" s="4">
        <f t="array" ref="E352">INDEX(Sheet1!$B$2:$F$22000,SMALL(IF(Sheet1!$A$2:$A$22000=$A$1,ROW(Sheet1!$B$2:$B$22000)),ROW($A350:$F350))-1,4)</f>
        <v>0</v>
      </c>
      <c r="F352" s="4">
        <f t="array" ref="F352">INDEX(Sheet1!$B$2:$F$22000,SMALL(IF(Sheet1!$A$2:$A$22000=$A$1,ROW(Sheet1!$B$2:$B$22000)),ROW($A350:$F350))-1,5)</f>
        <v>0</v>
      </c>
      <c r="M352" s="9">
        <v>350</v>
      </c>
      <c r="N352" s="10">
        <f t="shared" si="34"/>
        <v>0</v>
      </c>
      <c r="O352" s="11">
        <f t="shared" si="35"/>
        <v>0</v>
      </c>
      <c r="P352" s="12">
        <f t="shared" si="36"/>
        <v>0</v>
      </c>
      <c r="Q352" s="13">
        <f t="shared" si="37"/>
        <v>0</v>
      </c>
      <c r="V352" s="14">
        <f t="shared" si="33"/>
        <v>0.68359375</v>
      </c>
      <c r="W352" s="10">
        <f t="shared" si="38"/>
        <v>0</v>
      </c>
      <c r="X352" s="11">
        <f t="shared" si="38"/>
        <v>0</v>
      </c>
      <c r="Y352" s="12">
        <f t="shared" si="38"/>
        <v>0</v>
      </c>
      <c r="Z352" s="13">
        <f t="shared" si="38"/>
        <v>0</v>
      </c>
    </row>
    <row r="353" spans="2:26" x14ac:dyDescent="0.25">
      <c r="B353" s="4">
        <v>351</v>
      </c>
      <c r="C353" s="4">
        <f t="array" ref="C353">INDEX(Sheet1!$B$2:$F$22000,SMALL(IF(Sheet1!$A$2:$A$22000=$A$1,ROW(Sheet1!$B$2:$B$22000)),ROW($A351:$F351))-1,2)</f>
        <v>0</v>
      </c>
      <c r="D353" s="4">
        <f t="array" ref="D353">INDEX(Sheet1!$B$2:$F$22000,SMALL(IF(Sheet1!$A$2:$A$22000=$A$1,ROW(Sheet1!$B$2:$B$22000)),ROW($A351:$F351))-1,3)</f>
        <v>0</v>
      </c>
      <c r="E353" s="4">
        <f t="array" ref="E353">INDEX(Sheet1!$B$2:$F$22000,SMALL(IF(Sheet1!$A$2:$A$22000=$A$1,ROW(Sheet1!$B$2:$B$22000)),ROW($A351:$F351))-1,4)</f>
        <v>0</v>
      </c>
      <c r="F353" s="4">
        <f t="array" ref="F353">INDEX(Sheet1!$B$2:$F$22000,SMALL(IF(Sheet1!$A$2:$A$22000=$A$1,ROW(Sheet1!$B$2:$B$22000)),ROW($A351:$F351))-1,5)</f>
        <v>0</v>
      </c>
      <c r="M353" s="9">
        <v>351</v>
      </c>
      <c r="N353" s="10">
        <f t="shared" si="34"/>
        <v>0</v>
      </c>
      <c r="O353" s="11">
        <f t="shared" si="35"/>
        <v>0</v>
      </c>
      <c r="P353" s="12">
        <f t="shared" si="36"/>
        <v>0</v>
      </c>
      <c r="Q353" s="13">
        <f t="shared" si="37"/>
        <v>0</v>
      </c>
      <c r="V353" s="14">
        <f t="shared" si="33"/>
        <v>0.685546875</v>
      </c>
      <c r="W353" s="10">
        <f t="shared" si="38"/>
        <v>0</v>
      </c>
      <c r="X353" s="11">
        <f t="shared" si="38"/>
        <v>0</v>
      </c>
      <c r="Y353" s="12">
        <f t="shared" si="38"/>
        <v>0</v>
      </c>
      <c r="Z353" s="13">
        <f t="shared" si="38"/>
        <v>0</v>
      </c>
    </row>
    <row r="354" spans="2:26" x14ac:dyDescent="0.25">
      <c r="B354" s="4">
        <v>352</v>
      </c>
      <c r="C354" s="4">
        <f t="array" ref="C354">INDEX(Sheet1!$B$2:$F$22000,SMALL(IF(Sheet1!$A$2:$A$22000=$A$1,ROW(Sheet1!$B$2:$B$22000)),ROW($A352:$F352))-1,2)</f>
        <v>0</v>
      </c>
      <c r="D354" s="4">
        <f t="array" ref="D354">INDEX(Sheet1!$B$2:$F$22000,SMALL(IF(Sheet1!$A$2:$A$22000=$A$1,ROW(Sheet1!$B$2:$B$22000)),ROW($A352:$F352))-1,3)</f>
        <v>0</v>
      </c>
      <c r="E354" s="4">
        <f t="array" ref="E354">INDEX(Sheet1!$B$2:$F$22000,SMALL(IF(Sheet1!$A$2:$A$22000=$A$1,ROW(Sheet1!$B$2:$B$22000)),ROW($A352:$F352))-1,4)</f>
        <v>0</v>
      </c>
      <c r="F354" s="4">
        <f t="array" ref="F354">INDEX(Sheet1!$B$2:$F$22000,SMALL(IF(Sheet1!$A$2:$A$22000=$A$1,ROW(Sheet1!$B$2:$B$22000)),ROW($A352:$F352))-1,5)</f>
        <v>0</v>
      </c>
      <c r="M354" s="9">
        <v>352</v>
      </c>
      <c r="N354" s="10">
        <f t="shared" si="34"/>
        <v>0</v>
      </c>
      <c r="O354" s="11">
        <f t="shared" si="35"/>
        <v>0</v>
      </c>
      <c r="P354" s="12">
        <f t="shared" si="36"/>
        <v>0</v>
      </c>
      <c r="Q354" s="13">
        <f t="shared" si="37"/>
        <v>0</v>
      </c>
      <c r="V354" s="14">
        <f t="shared" si="33"/>
        <v>0.6875</v>
      </c>
      <c r="W354" s="10">
        <f t="shared" si="38"/>
        <v>0</v>
      </c>
      <c r="X354" s="11">
        <f t="shared" si="38"/>
        <v>0</v>
      </c>
      <c r="Y354" s="12">
        <f t="shared" si="38"/>
        <v>0</v>
      </c>
      <c r="Z354" s="13">
        <f t="shared" si="38"/>
        <v>0</v>
      </c>
    </row>
    <row r="355" spans="2:26" x14ac:dyDescent="0.25">
      <c r="B355" s="4">
        <v>353</v>
      </c>
      <c r="C355" s="4">
        <f t="array" ref="C355">INDEX(Sheet1!$B$2:$F$22000,SMALL(IF(Sheet1!$A$2:$A$22000=$A$1,ROW(Sheet1!$B$2:$B$22000)),ROW($A353:$F353))-1,2)</f>
        <v>0</v>
      </c>
      <c r="D355" s="4">
        <f t="array" ref="D355">INDEX(Sheet1!$B$2:$F$22000,SMALL(IF(Sheet1!$A$2:$A$22000=$A$1,ROW(Sheet1!$B$2:$B$22000)),ROW($A353:$F353))-1,3)</f>
        <v>0</v>
      </c>
      <c r="E355" s="4">
        <f t="array" ref="E355">INDEX(Sheet1!$B$2:$F$22000,SMALL(IF(Sheet1!$A$2:$A$22000=$A$1,ROW(Sheet1!$B$2:$B$22000)),ROW($A353:$F353))-1,4)</f>
        <v>0</v>
      </c>
      <c r="F355" s="4">
        <f t="array" ref="F355">INDEX(Sheet1!$B$2:$F$22000,SMALL(IF(Sheet1!$A$2:$A$22000=$A$1,ROW(Sheet1!$B$2:$B$22000)),ROW($A353:$F353))-1,5)</f>
        <v>0</v>
      </c>
      <c r="M355" s="9">
        <v>353</v>
      </c>
      <c r="N355" s="10">
        <f t="shared" si="34"/>
        <v>0</v>
      </c>
      <c r="O355" s="11">
        <f t="shared" si="35"/>
        <v>0</v>
      </c>
      <c r="P355" s="12">
        <f t="shared" si="36"/>
        <v>0</v>
      </c>
      <c r="Q355" s="13">
        <f t="shared" si="37"/>
        <v>0</v>
      </c>
      <c r="V355" s="14">
        <f t="shared" si="33"/>
        <v>0.689453125</v>
      </c>
      <c r="W355" s="10">
        <f t="shared" si="38"/>
        <v>0</v>
      </c>
      <c r="X355" s="11">
        <f t="shared" si="38"/>
        <v>0</v>
      </c>
      <c r="Y355" s="12">
        <f t="shared" si="38"/>
        <v>0</v>
      </c>
      <c r="Z355" s="13">
        <f t="shared" si="38"/>
        <v>0</v>
      </c>
    </row>
    <row r="356" spans="2:26" x14ac:dyDescent="0.25">
      <c r="B356" s="4">
        <v>354</v>
      </c>
      <c r="C356" s="4">
        <f t="array" ref="C356">INDEX(Sheet1!$B$2:$F$22000,SMALL(IF(Sheet1!$A$2:$A$22000=$A$1,ROW(Sheet1!$B$2:$B$22000)),ROW($A354:$F354))-1,2)</f>
        <v>0</v>
      </c>
      <c r="D356" s="4">
        <f t="array" ref="D356">INDEX(Sheet1!$B$2:$F$22000,SMALL(IF(Sheet1!$A$2:$A$22000=$A$1,ROW(Sheet1!$B$2:$B$22000)),ROW($A354:$F354))-1,3)</f>
        <v>0</v>
      </c>
      <c r="E356" s="4">
        <f t="array" ref="E356">INDEX(Sheet1!$B$2:$F$22000,SMALL(IF(Sheet1!$A$2:$A$22000=$A$1,ROW(Sheet1!$B$2:$B$22000)),ROW($A354:$F354))-1,4)</f>
        <v>0</v>
      </c>
      <c r="F356" s="4">
        <f t="array" ref="F356">INDEX(Sheet1!$B$2:$F$22000,SMALL(IF(Sheet1!$A$2:$A$22000=$A$1,ROW(Sheet1!$B$2:$B$22000)),ROW($A354:$F354))-1,5)</f>
        <v>0</v>
      </c>
      <c r="M356" s="9">
        <v>354</v>
      </c>
      <c r="N356" s="10">
        <f t="shared" si="34"/>
        <v>0</v>
      </c>
      <c r="O356" s="11">
        <f t="shared" si="35"/>
        <v>0</v>
      </c>
      <c r="P356" s="12">
        <f t="shared" si="36"/>
        <v>0</v>
      </c>
      <c r="Q356" s="13">
        <f t="shared" si="37"/>
        <v>0</v>
      </c>
      <c r="V356" s="14">
        <f t="shared" si="33"/>
        <v>0.69140625</v>
      </c>
      <c r="W356" s="10">
        <f t="shared" si="38"/>
        <v>0</v>
      </c>
      <c r="X356" s="11">
        <f t="shared" si="38"/>
        <v>0</v>
      </c>
      <c r="Y356" s="12">
        <f t="shared" si="38"/>
        <v>0</v>
      </c>
      <c r="Z356" s="13">
        <f t="shared" si="38"/>
        <v>0</v>
      </c>
    </row>
    <row r="357" spans="2:26" x14ac:dyDescent="0.25">
      <c r="B357" s="4">
        <v>355</v>
      </c>
      <c r="C357" s="4">
        <f t="array" ref="C357">INDEX(Sheet1!$B$2:$F$22000,SMALL(IF(Sheet1!$A$2:$A$22000=$A$1,ROW(Sheet1!$B$2:$B$22000)),ROW($A355:$F355))-1,2)</f>
        <v>0</v>
      </c>
      <c r="D357" s="4">
        <f t="array" ref="D357">INDEX(Sheet1!$B$2:$F$22000,SMALL(IF(Sheet1!$A$2:$A$22000=$A$1,ROW(Sheet1!$B$2:$B$22000)),ROW($A355:$F355))-1,3)</f>
        <v>0</v>
      </c>
      <c r="E357" s="4">
        <f t="array" ref="E357">INDEX(Sheet1!$B$2:$F$22000,SMALL(IF(Sheet1!$A$2:$A$22000=$A$1,ROW(Sheet1!$B$2:$B$22000)),ROW($A355:$F355))-1,4)</f>
        <v>0</v>
      </c>
      <c r="F357" s="4">
        <f t="array" ref="F357">INDEX(Sheet1!$B$2:$F$22000,SMALL(IF(Sheet1!$A$2:$A$22000=$A$1,ROW(Sheet1!$B$2:$B$22000)),ROW($A355:$F355))-1,5)</f>
        <v>0</v>
      </c>
      <c r="M357" s="9">
        <v>355</v>
      </c>
      <c r="N357" s="10">
        <f t="shared" si="34"/>
        <v>0</v>
      </c>
      <c r="O357" s="11">
        <f t="shared" si="35"/>
        <v>0</v>
      </c>
      <c r="P357" s="12">
        <f t="shared" si="36"/>
        <v>0</v>
      </c>
      <c r="Q357" s="13">
        <f t="shared" si="37"/>
        <v>0</v>
      </c>
      <c r="V357" s="14">
        <f t="shared" si="33"/>
        <v>0.693359375</v>
      </c>
      <c r="W357" s="10">
        <f t="shared" si="38"/>
        <v>0</v>
      </c>
      <c r="X357" s="11">
        <f t="shared" si="38"/>
        <v>0</v>
      </c>
      <c r="Y357" s="12">
        <f t="shared" si="38"/>
        <v>0</v>
      </c>
      <c r="Z357" s="13">
        <f t="shared" si="38"/>
        <v>0</v>
      </c>
    </row>
    <row r="358" spans="2:26" x14ac:dyDescent="0.25">
      <c r="B358" s="4">
        <v>356</v>
      </c>
      <c r="C358" s="4">
        <f t="array" ref="C358">INDEX(Sheet1!$B$2:$F$22000,SMALL(IF(Sheet1!$A$2:$A$22000=$A$1,ROW(Sheet1!$B$2:$B$22000)),ROW($A356:$F356))-1,2)</f>
        <v>0</v>
      </c>
      <c r="D358" s="4">
        <f t="array" ref="D358">INDEX(Sheet1!$B$2:$F$22000,SMALL(IF(Sheet1!$A$2:$A$22000=$A$1,ROW(Sheet1!$B$2:$B$22000)),ROW($A356:$F356))-1,3)</f>
        <v>0</v>
      </c>
      <c r="E358" s="4">
        <f t="array" ref="E358">INDEX(Sheet1!$B$2:$F$22000,SMALL(IF(Sheet1!$A$2:$A$22000=$A$1,ROW(Sheet1!$B$2:$B$22000)),ROW($A356:$F356))-1,4)</f>
        <v>0</v>
      </c>
      <c r="F358" s="4">
        <f t="array" ref="F358">INDEX(Sheet1!$B$2:$F$22000,SMALL(IF(Sheet1!$A$2:$A$22000=$A$1,ROW(Sheet1!$B$2:$B$22000)),ROW($A356:$F356))-1,5)</f>
        <v>0</v>
      </c>
      <c r="M358" s="9">
        <v>356</v>
      </c>
      <c r="N358" s="10">
        <f t="shared" si="34"/>
        <v>0</v>
      </c>
      <c r="O358" s="11">
        <f t="shared" si="35"/>
        <v>0</v>
      </c>
      <c r="P358" s="12">
        <f t="shared" si="36"/>
        <v>0</v>
      </c>
      <c r="Q358" s="13">
        <f t="shared" si="37"/>
        <v>0</v>
      </c>
      <c r="V358" s="14">
        <f t="shared" si="33"/>
        <v>0.6953125</v>
      </c>
      <c r="W358" s="10">
        <f t="shared" si="38"/>
        <v>0</v>
      </c>
      <c r="X358" s="11">
        <f t="shared" si="38"/>
        <v>0</v>
      </c>
      <c r="Y358" s="12">
        <f t="shared" si="38"/>
        <v>0</v>
      </c>
      <c r="Z358" s="13">
        <f t="shared" si="38"/>
        <v>0</v>
      </c>
    </row>
    <row r="359" spans="2:26" x14ac:dyDescent="0.25">
      <c r="B359" s="4">
        <v>357</v>
      </c>
      <c r="C359" s="4">
        <f t="array" ref="C359">INDEX(Sheet1!$B$2:$F$22000,SMALL(IF(Sheet1!$A$2:$A$22000=$A$1,ROW(Sheet1!$B$2:$B$22000)),ROW($A357:$F357))-1,2)</f>
        <v>0</v>
      </c>
      <c r="D359" s="4">
        <f t="array" ref="D359">INDEX(Sheet1!$B$2:$F$22000,SMALL(IF(Sheet1!$A$2:$A$22000=$A$1,ROW(Sheet1!$B$2:$B$22000)),ROW($A357:$F357))-1,3)</f>
        <v>0</v>
      </c>
      <c r="E359" s="4">
        <f t="array" ref="E359">INDEX(Sheet1!$B$2:$F$22000,SMALL(IF(Sheet1!$A$2:$A$22000=$A$1,ROW(Sheet1!$B$2:$B$22000)),ROW($A357:$F357))-1,4)</f>
        <v>0</v>
      </c>
      <c r="F359" s="4">
        <f t="array" ref="F359">INDEX(Sheet1!$B$2:$F$22000,SMALL(IF(Sheet1!$A$2:$A$22000=$A$1,ROW(Sheet1!$B$2:$B$22000)),ROW($A357:$F357))-1,5)</f>
        <v>0</v>
      </c>
      <c r="M359" s="9">
        <v>357</v>
      </c>
      <c r="N359" s="10">
        <f t="shared" si="34"/>
        <v>0</v>
      </c>
      <c r="O359" s="11">
        <f t="shared" si="35"/>
        <v>0</v>
      </c>
      <c r="P359" s="12">
        <f t="shared" si="36"/>
        <v>0</v>
      </c>
      <c r="Q359" s="13">
        <f t="shared" si="37"/>
        <v>0</v>
      </c>
      <c r="V359" s="14">
        <f t="shared" si="33"/>
        <v>0.697265625</v>
      </c>
      <c r="W359" s="10">
        <f t="shared" si="38"/>
        <v>0</v>
      </c>
      <c r="X359" s="11">
        <f t="shared" si="38"/>
        <v>0</v>
      </c>
      <c r="Y359" s="12">
        <f t="shared" si="38"/>
        <v>0</v>
      </c>
      <c r="Z359" s="13">
        <f t="shared" si="38"/>
        <v>0</v>
      </c>
    </row>
    <row r="360" spans="2:26" x14ac:dyDescent="0.25">
      <c r="B360" s="4">
        <v>358</v>
      </c>
      <c r="C360" s="4">
        <f t="array" ref="C360">INDEX(Sheet1!$B$2:$F$22000,SMALL(IF(Sheet1!$A$2:$A$22000=$A$1,ROW(Sheet1!$B$2:$B$22000)),ROW($A358:$F358))-1,2)</f>
        <v>0</v>
      </c>
      <c r="D360" s="4">
        <f t="array" ref="D360">INDEX(Sheet1!$B$2:$F$22000,SMALL(IF(Sheet1!$A$2:$A$22000=$A$1,ROW(Sheet1!$B$2:$B$22000)),ROW($A358:$F358))-1,3)</f>
        <v>0</v>
      </c>
      <c r="E360" s="4">
        <f t="array" ref="E360">INDEX(Sheet1!$B$2:$F$22000,SMALL(IF(Sheet1!$A$2:$A$22000=$A$1,ROW(Sheet1!$B$2:$B$22000)),ROW($A358:$F358))-1,4)</f>
        <v>0</v>
      </c>
      <c r="F360" s="4">
        <f t="array" ref="F360">INDEX(Sheet1!$B$2:$F$22000,SMALL(IF(Sheet1!$A$2:$A$22000=$A$1,ROW(Sheet1!$B$2:$B$22000)),ROW($A358:$F358))-1,5)</f>
        <v>0</v>
      </c>
      <c r="M360" s="9">
        <v>358</v>
      </c>
      <c r="N360" s="10">
        <f t="shared" si="34"/>
        <v>0</v>
      </c>
      <c r="O360" s="11">
        <f t="shared" si="35"/>
        <v>0</v>
      </c>
      <c r="P360" s="12">
        <f t="shared" si="36"/>
        <v>0</v>
      </c>
      <c r="Q360" s="13">
        <f t="shared" si="37"/>
        <v>0</v>
      </c>
      <c r="V360" s="14">
        <f t="shared" si="33"/>
        <v>0.69921875</v>
      </c>
      <c r="W360" s="10">
        <f t="shared" si="38"/>
        <v>0</v>
      </c>
      <c r="X360" s="11">
        <f t="shared" si="38"/>
        <v>0</v>
      </c>
      <c r="Y360" s="12">
        <f t="shared" si="38"/>
        <v>0</v>
      </c>
      <c r="Z360" s="13">
        <f t="shared" si="38"/>
        <v>0</v>
      </c>
    </row>
    <row r="361" spans="2:26" x14ac:dyDescent="0.25">
      <c r="B361" s="4">
        <v>359</v>
      </c>
      <c r="C361" s="4">
        <f t="array" ref="C361">INDEX(Sheet1!$B$2:$F$22000,SMALL(IF(Sheet1!$A$2:$A$22000=$A$1,ROW(Sheet1!$B$2:$B$22000)),ROW($A359:$F359))-1,2)</f>
        <v>0</v>
      </c>
      <c r="D361" s="4">
        <f t="array" ref="D361">INDEX(Sheet1!$B$2:$F$22000,SMALL(IF(Sheet1!$A$2:$A$22000=$A$1,ROW(Sheet1!$B$2:$B$22000)),ROW($A359:$F359))-1,3)</f>
        <v>0</v>
      </c>
      <c r="E361" s="4">
        <f t="array" ref="E361">INDEX(Sheet1!$B$2:$F$22000,SMALL(IF(Sheet1!$A$2:$A$22000=$A$1,ROW(Sheet1!$B$2:$B$22000)),ROW($A359:$F359))-1,4)</f>
        <v>0</v>
      </c>
      <c r="F361" s="4">
        <f t="array" ref="F361">INDEX(Sheet1!$B$2:$F$22000,SMALL(IF(Sheet1!$A$2:$A$22000=$A$1,ROW(Sheet1!$B$2:$B$22000)),ROW($A359:$F359))-1,5)</f>
        <v>0</v>
      </c>
      <c r="M361" s="9">
        <v>359</v>
      </c>
      <c r="N361" s="10">
        <f t="shared" si="34"/>
        <v>0</v>
      </c>
      <c r="O361" s="11">
        <f t="shared" si="35"/>
        <v>0</v>
      </c>
      <c r="P361" s="12">
        <f t="shared" si="36"/>
        <v>0</v>
      </c>
      <c r="Q361" s="13">
        <f t="shared" si="37"/>
        <v>0</v>
      </c>
      <c r="V361" s="14">
        <f t="shared" si="33"/>
        <v>0.701171875</v>
      </c>
      <c r="W361" s="10">
        <f t="shared" si="38"/>
        <v>0</v>
      </c>
      <c r="X361" s="11">
        <f t="shared" si="38"/>
        <v>0</v>
      </c>
      <c r="Y361" s="12">
        <f t="shared" si="38"/>
        <v>0</v>
      </c>
      <c r="Z361" s="13">
        <f t="shared" si="38"/>
        <v>0</v>
      </c>
    </row>
    <row r="362" spans="2:26" x14ac:dyDescent="0.25">
      <c r="B362" s="4">
        <v>360</v>
      </c>
      <c r="C362" s="4">
        <f t="array" ref="C362">INDEX(Sheet1!$B$2:$F$22000,SMALL(IF(Sheet1!$A$2:$A$22000=$A$1,ROW(Sheet1!$B$2:$B$22000)),ROW($A360:$F360))-1,2)</f>
        <v>0</v>
      </c>
      <c r="D362" s="4">
        <f t="array" ref="D362">INDEX(Sheet1!$B$2:$F$22000,SMALL(IF(Sheet1!$A$2:$A$22000=$A$1,ROW(Sheet1!$B$2:$B$22000)),ROW($A360:$F360))-1,3)</f>
        <v>0</v>
      </c>
      <c r="E362" s="4">
        <f t="array" ref="E362">INDEX(Sheet1!$B$2:$F$22000,SMALL(IF(Sheet1!$A$2:$A$22000=$A$1,ROW(Sheet1!$B$2:$B$22000)),ROW($A360:$F360))-1,4)</f>
        <v>0</v>
      </c>
      <c r="F362" s="4">
        <f t="array" ref="F362">INDEX(Sheet1!$B$2:$F$22000,SMALL(IF(Sheet1!$A$2:$A$22000=$A$1,ROW(Sheet1!$B$2:$B$22000)),ROW($A360:$F360))-1,5)</f>
        <v>0</v>
      </c>
      <c r="M362" s="9">
        <v>360</v>
      </c>
      <c r="N362" s="10">
        <f t="shared" si="34"/>
        <v>0</v>
      </c>
      <c r="O362" s="11">
        <f t="shared" si="35"/>
        <v>0</v>
      </c>
      <c r="P362" s="12">
        <f t="shared" si="36"/>
        <v>0</v>
      </c>
      <c r="Q362" s="13">
        <f t="shared" si="37"/>
        <v>0</v>
      </c>
      <c r="V362" s="14">
        <f t="shared" si="33"/>
        <v>0.703125</v>
      </c>
      <c r="W362" s="10">
        <f t="shared" si="38"/>
        <v>0</v>
      </c>
      <c r="X362" s="11">
        <f t="shared" si="38"/>
        <v>0</v>
      </c>
      <c r="Y362" s="12">
        <f t="shared" si="38"/>
        <v>0</v>
      </c>
      <c r="Z362" s="13">
        <f t="shared" si="38"/>
        <v>0</v>
      </c>
    </row>
    <row r="363" spans="2:26" x14ac:dyDescent="0.25">
      <c r="B363" s="4">
        <v>361</v>
      </c>
      <c r="C363" s="4">
        <f t="array" ref="C363">INDEX(Sheet1!$B$2:$F$22000,SMALL(IF(Sheet1!$A$2:$A$22000=$A$1,ROW(Sheet1!$B$2:$B$22000)),ROW($A361:$F361))-1,2)</f>
        <v>0</v>
      </c>
      <c r="D363" s="4">
        <f t="array" ref="D363">INDEX(Sheet1!$B$2:$F$22000,SMALL(IF(Sheet1!$A$2:$A$22000=$A$1,ROW(Sheet1!$B$2:$B$22000)),ROW($A361:$F361))-1,3)</f>
        <v>0</v>
      </c>
      <c r="E363" s="4">
        <f t="array" ref="E363">INDEX(Sheet1!$B$2:$F$22000,SMALL(IF(Sheet1!$A$2:$A$22000=$A$1,ROW(Sheet1!$B$2:$B$22000)),ROW($A361:$F361))-1,4)</f>
        <v>0</v>
      </c>
      <c r="F363" s="4">
        <f t="array" ref="F363">INDEX(Sheet1!$B$2:$F$22000,SMALL(IF(Sheet1!$A$2:$A$22000=$A$1,ROW(Sheet1!$B$2:$B$22000)),ROW($A361:$F361))-1,5)</f>
        <v>0</v>
      </c>
      <c r="M363" s="9">
        <v>361</v>
      </c>
      <c r="N363" s="10">
        <f t="shared" si="34"/>
        <v>0</v>
      </c>
      <c r="O363" s="11">
        <f t="shared" si="35"/>
        <v>0</v>
      </c>
      <c r="P363" s="12">
        <f t="shared" si="36"/>
        <v>0</v>
      </c>
      <c r="Q363" s="13">
        <f t="shared" si="37"/>
        <v>0</v>
      </c>
      <c r="V363" s="14">
        <f t="shared" si="33"/>
        <v>0.705078125</v>
      </c>
      <c r="W363" s="10">
        <f t="shared" si="38"/>
        <v>0</v>
      </c>
      <c r="X363" s="11">
        <f t="shared" si="38"/>
        <v>0</v>
      </c>
      <c r="Y363" s="12">
        <f t="shared" si="38"/>
        <v>0</v>
      </c>
      <c r="Z363" s="13">
        <f t="shared" si="38"/>
        <v>0</v>
      </c>
    </row>
    <row r="364" spans="2:26" x14ac:dyDescent="0.25">
      <c r="B364" s="4">
        <v>362</v>
      </c>
      <c r="C364" s="4">
        <f t="array" ref="C364">INDEX(Sheet1!$B$2:$F$22000,SMALL(IF(Sheet1!$A$2:$A$22000=$A$1,ROW(Sheet1!$B$2:$B$22000)),ROW($A362:$F362))-1,2)</f>
        <v>0</v>
      </c>
      <c r="D364" s="4">
        <f t="array" ref="D364">INDEX(Sheet1!$B$2:$F$22000,SMALL(IF(Sheet1!$A$2:$A$22000=$A$1,ROW(Sheet1!$B$2:$B$22000)),ROW($A362:$F362))-1,3)</f>
        <v>0</v>
      </c>
      <c r="E364" s="4">
        <f t="array" ref="E364">INDEX(Sheet1!$B$2:$F$22000,SMALL(IF(Sheet1!$A$2:$A$22000=$A$1,ROW(Sheet1!$B$2:$B$22000)),ROW($A362:$F362))-1,4)</f>
        <v>0</v>
      </c>
      <c r="F364" s="4">
        <f t="array" ref="F364">INDEX(Sheet1!$B$2:$F$22000,SMALL(IF(Sheet1!$A$2:$A$22000=$A$1,ROW(Sheet1!$B$2:$B$22000)),ROW($A362:$F362))-1,5)</f>
        <v>0</v>
      </c>
      <c r="M364" s="9">
        <v>362</v>
      </c>
      <c r="N364" s="10">
        <f t="shared" si="34"/>
        <v>0</v>
      </c>
      <c r="O364" s="11">
        <f t="shared" si="35"/>
        <v>0</v>
      </c>
      <c r="P364" s="12">
        <f t="shared" si="36"/>
        <v>0</v>
      </c>
      <c r="Q364" s="13">
        <f t="shared" si="37"/>
        <v>0</v>
      </c>
      <c r="V364" s="14">
        <f t="shared" si="33"/>
        <v>0.70703125</v>
      </c>
      <c r="W364" s="10">
        <f t="shared" si="38"/>
        <v>0</v>
      </c>
      <c r="X364" s="11">
        <f t="shared" si="38"/>
        <v>0</v>
      </c>
      <c r="Y364" s="12">
        <f t="shared" si="38"/>
        <v>0</v>
      </c>
      <c r="Z364" s="13">
        <f t="shared" si="38"/>
        <v>0</v>
      </c>
    </row>
    <row r="365" spans="2:26" x14ac:dyDescent="0.25">
      <c r="B365" s="4">
        <v>363</v>
      </c>
      <c r="C365" s="4">
        <f t="array" ref="C365">INDEX(Sheet1!$B$2:$F$22000,SMALL(IF(Sheet1!$A$2:$A$22000=$A$1,ROW(Sheet1!$B$2:$B$22000)),ROW($A363:$F363))-1,2)</f>
        <v>0</v>
      </c>
      <c r="D365" s="4">
        <f t="array" ref="D365">INDEX(Sheet1!$B$2:$F$22000,SMALL(IF(Sheet1!$A$2:$A$22000=$A$1,ROW(Sheet1!$B$2:$B$22000)),ROW($A363:$F363))-1,3)</f>
        <v>0</v>
      </c>
      <c r="E365" s="4">
        <f t="array" ref="E365">INDEX(Sheet1!$B$2:$F$22000,SMALL(IF(Sheet1!$A$2:$A$22000=$A$1,ROW(Sheet1!$B$2:$B$22000)),ROW($A363:$F363))-1,4)</f>
        <v>0</v>
      </c>
      <c r="F365" s="4">
        <f t="array" ref="F365">INDEX(Sheet1!$B$2:$F$22000,SMALL(IF(Sheet1!$A$2:$A$22000=$A$1,ROW(Sheet1!$B$2:$B$22000)),ROW($A363:$F363))-1,5)</f>
        <v>0</v>
      </c>
      <c r="M365" s="9">
        <v>363</v>
      </c>
      <c r="N365" s="10">
        <f t="shared" si="34"/>
        <v>0</v>
      </c>
      <c r="O365" s="11">
        <f t="shared" si="35"/>
        <v>0</v>
      </c>
      <c r="P365" s="12">
        <f t="shared" si="36"/>
        <v>0</v>
      </c>
      <c r="Q365" s="13">
        <f t="shared" si="37"/>
        <v>0</v>
      </c>
      <c r="V365" s="14">
        <f t="shared" si="33"/>
        <v>0.708984375</v>
      </c>
      <c r="W365" s="10">
        <f t="shared" si="38"/>
        <v>0</v>
      </c>
      <c r="X365" s="11">
        <f t="shared" si="38"/>
        <v>0</v>
      </c>
      <c r="Y365" s="12">
        <f t="shared" si="38"/>
        <v>0</v>
      </c>
      <c r="Z365" s="13">
        <f t="shared" si="38"/>
        <v>0</v>
      </c>
    </row>
    <row r="366" spans="2:26" x14ac:dyDescent="0.25">
      <c r="B366" s="4">
        <v>364</v>
      </c>
      <c r="C366" s="4">
        <f t="array" ref="C366">INDEX(Sheet1!$B$2:$F$22000,SMALL(IF(Sheet1!$A$2:$A$22000=$A$1,ROW(Sheet1!$B$2:$B$22000)),ROW($A364:$F364))-1,2)</f>
        <v>0</v>
      </c>
      <c r="D366" s="4">
        <f t="array" ref="D366">INDEX(Sheet1!$B$2:$F$22000,SMALL(IF(Sheet1!$A$2:$A$22000=$A$1,ROW(Sheet1!$B$2:$B$22000)),ROW($A364:$F364))-1,3)</f>
        <v>0</v>
      </c>
      <c r="E366" s="4">
        <f t="array" ref="E366">INDEX(Sheet1!$B$2:$F$22000,SMALL(IF(Sheet1!$A$2:$A$22000=$A$1,ROW(Sheet1!$B$2:$B$22000)),ROW($A364:$F364))-1,4)</f>
        <v>0</v>
      </c>
      <c r="F366" s="4">
        <f t="array" ref="F366">INDEX(Sheet1!$B$2:$F$22000,SMALL(IF(Sheet1!$A$2:$A$22000=$A$1,ROW(Sheet1!$B$2:$B$22000)),ROW($A364:$F364))-1,5)</f>
        <v>0</v>
      </c>
      <c r="M366" s="9">
        <v>364</v>
      </c>
      <c r="N366" s="10">
        <f t="shared" si="34"/>
        <v>0</v>
      </c>
      <c r="O366" s="11">
        <f t="shared" si="35"/>
        <v>0</v>
      </c>
      <c r="P366" s="12">
        <f t="shared" si="36"/>
        <v>0</v>
      </c>
      <c r="Q366" s="13">
        <f t="shared" si="37"/>
        <v>0</v>
      </c>
      <c r="V366" s="14">
        <f t="shared" si="33"/>
        <v>0.7109375</v>
      </c>
      <c r="W366" s="10">
        <f t="shared" si="38"/>
        <v>0</v>
      </c>
      <c r="X366" s="11">
        <f t="shared" si="38"/>
        <v>0</v>
      </c>
      <c r="Y366" s="12">
        <f t="shared" si="38"/>
        <v>0</v>
      </c>
      <c r="Z366" s="13">
        <f t="shared" si="38"/>
        <v>0</v>
      </c>
    </row>
    <row r="367" spans="2:26" x14ac:dyDescent="0.25">
      <c r="B367" s="4">
        <v>365</v>
      </c>
      <c r="C367" s="4">
        <f t="array" ref="C367">INDEX(Sheet1!$B$2:$F$22000,SMALL(IF(Sheet1!$A$2:$A$22000=$A$1,ROW(Sheet1!$B$2:$B$22000)),ROW($A365:$F365))-1,2)</f>
        <v>0</v>
      </c>
      <c r="D367" s="4">
        <f t="array" ref="D367">INDEX(Sheet1!$B$2:$F$22000,SMALL(IF(Sheet1!$A$2:$A$22000=$A$1,ROW(Sheet1!$B$2:$B$22000)),ROW($A365:$F365))-1,3)</f>
        <v>0</v>
      </c>
      <c r="E367" s="4">
        <f t="array" ref="E367">INDEX(Sheet1!$B$2:$F$22000,SMALL(IF(Sheet1!$A$2:$A$22000=$A$1,ROW(Sheet1!$B$2:$B$22000)),ROW($A365:$F365))-1,4)</f>
        <v>0</v>
      </c>
      <c r="F367" s="4">
        <f t="array" ref="F367">INDEX(Sheet1!$B$2:$F$22000,SMALL(IF(Sheet1!$A$2:$A$22000=$A$1,ROW(Sheet1!$B$2:$B$22000)),ROW($A365:$F365))-1,5)</f>
        <v>0</v>
      </c>
      <c r="M367" s="9">
        <v>365</v>
      </c>
      <c r="N367" s="10">
        <f t="shared" si="34"/>
        <v>0</v>
      </c>
      <c r="O367" s="11">
        <f t="shared" si="35"/>
        <v>0</v>
      </c>
      <c r="P367" s="12">
        <f t="shared" si="36"/>
        <v>0</v>
      </c>
      <c r="Q367" s="13">
        <f t="shared" si="37"/>
        <v>0</v>
      </c>
      <c r="V367" s="14">
        <f t="shared" si="33"/>
        <v>0.712890625</v>
      </c>
      <c r="W367" s="10">
        <f t="shared" si="38"/>
        <v>0</v>
      </c>
      <c r="X367" s="11">
        <f t="shared" si="38"/>
        <v>0</v>
      </c>
      <c r="Y367" s="12">
        <f t="shared" si="38"/>
        <v>0</v>
      </c>
      <c r="Z367" s="13">
        <f t="shared" si="38"/>
        <v>0</v>
      </c>
    </row>
    <row r="368" spans="2:26" x14ac:dyDescent="0.25">
      <c r="B368" s="4">
        <v>366</v>
      </c>
      <c r="C368" s="4">
        <f t="array" ref="C368">INDEX(Sheet1!$B$2:$F$22000,SMALL(IF(Sheet1!$A$2:$A$22000=$A$1,ROW(Sheet1!$B$2:$B$22000)),ROW($A366:$F366))-1,2)</f>
        <v>0</v>
      </c>
      <c r="D368" s="4">
        <f t="array" ref="D368">INDEX(Sheet1!$B$2:$F$22000,SMALL(IF(Sheet1!$A$2:$A$22000=$A$1,ROW(Sheet1!$B$2:$B$22000)),ROW($A366:$F366))-1,3)</f>
        <v>0</v>
      </c>
      <c r="E368" s="4">
        <f t="array" ref="E368">INDEX(Sheet1!$B$2:$F$22000,SMALL(IF(Sheet1!$A$2:$A$22000=$A$1,ROW(Sheet1!$B$2:$B$22000)),ROW($A366:$F366))-1,4)</f>
        <v>0</v>
      </c>
      <c r="F368" s="4">
        <f t="array" ref="F368">INDEX(Sheet1!$B$2:$F$22000,SMALL(IF(Sheet1!$A$2:$A$22000=$A$1,ROW(Sheet1!$B$2:$B$22000)),ROW($A366:$F366))-1,5)</f>
        <v>0</v>
      </c>
      <c r="M368" s="9">
        <v>366</v>
      </c>
      <c r="N368" s="10">
        <f t="shared" si="34"/>
        <v>0</v>
      </c>
      <c r="O368" s="11">
        <f t="shared" si="35"/>
        <v>0</v>
      </c>
      <c r="P368" s="12">
        <f t="shared" si="36"/>
        <v>0</v>
      </c>
      <c r="Q368" s="13">
        <f t="shared" si="37"/>
        <v>0</v>
      </c>
      <c r="V368" s="14">
        <f t="shared" si="33"/>
        <v>0.71484375</v>
      </c>
      <c r="W368" s="10">
        <f t="shared" si="38"/>
        <v>0</v>
      </c>
      <c r="X368" s="11">
        <f t="shared" si="38"/>
        <v>0</v>
      </c>
      <c r="Y368" s="12">
        <f t="shared" si="38"/>
        <v>0</v>
      </c>
      <c r="Z368" s="13">
        <f t="shared" si="38"/>
        <v>0</v>
      </c>
    </row>
    <row r="369" spans="2:26" x14ac:dyDescent="0.25">
      <c r="B369" s="4">
        <v>367</v>
      </c>
      <c r="C369" s="4">
        <f t="array" ref="C369">INDEX(Sheet1!$B$2:$F$22000,SMALL(IF(Sheet1!$A$2:$A$22000=$A$1,ROW(Sheet1!$B$2:$B$22000)),ROW($A367:$F367))-1,2)</f>
        <v>0</v>
      </c>
      <c r="D369" s="4">
        <f t="array" ref="D369">INDEX(Sheet1!$B$2:$F$22000,SMALL(IF(Sheet1!$A$2:$A$22000=$A$1,ROW(Sheet1!$B$2:$B$22000)),ROW($A367:$F367))-1,3)</f>
        <v>0</v>
      </c>
      <c r="E369" s="4">
        <f t="array" ref="E369">INDEX(Sheet1!$B$2:$F$22000,SMALL(IF(Sheet1!$A$2:$A$22000=$A$1,ROW(Sheet1!$B$2:$B$22000)),ROW($A367:$F367))-1,4)</f>
        <v>0</v>
      </c>
      <c r="F369" s="4">
        <f t="array" ref="F369">INDEX(Sheet1!$B$2:$F$22000,SMALL(IF(Sheet1!$A$2:$A$22000=$A$1,ROW(Sheet1!$B$2:$B$22000)),ROW($A367:$F367))-1,5)</f>
        <v>0</v>
      </c>
      <c r="M369" s="9">
        <v>367</v>
      </c>
      <c r="N369" s="10">
        <f t="shared" si="34"/>
        <v>0</v>
      </c>
      <c r="O369" s="11">
        <f t="shared" si="35"/>
        <v>0</v>
      </c>
      <c r="P369" s="12">
        <f t="shared" si="36"/>
        <v>0</v>
      </c>
      <c r="Q369" s="13">
        <f t="shared" si="37"/>
        <v>0</v>
      </c>
      <c r="V369" s="14">
        <f t="shared" si="33"/>
        <v>0.716796875</v>
      </c>
      <c r="W369" s="10">
        <f t="shared" si="38"/>
        <v>0</v>
      </c>
      <c r="X369" s="11">
        <f t="shared" si="38"/>
        <v>0</v>
      </c>
      <c r="Y369" s="12">
        <f t="shared" si="38"/>
        <v>0</v>
      </c>
      <c r="Z369" s="13">
        <f t="shared" si="38"/>
        <v>0</v>
      </c>
    </row>
    <row r="370" spans="2:26" x14ac:dyDescent="0.25">
      <c r="B370" s="4">
        <v>368</v>
      </c>
      <c r="C370" s="4">
        <f t="array" ref="C370">INDEX(Sheet1!$B$2:$F$22000,SMALL(IF(Sheet1!$A$2:$A$22000=$A$1,ROW(Sheet1!$B$2:$B$22000)),ROW($A368:$F368))-1,2)</f>
        <v>0</v>
      </c>
      <c r="D370" s="4">
        <f t="array" ref="D370">INDEX(Sheet1!$B$2:$F$22000,SMALL(IF(Sheet1!$A$2:$A$22000=$A$1,ROW(Sheet1!$B$2:$B$22000)),ROW($A368:$F368))-1,3)</f>
        <v>0</v>
      </c>
      <c r="E370" s="4">
        <f t="array" ref="E370">INDEX(Sheet1!$B$2:$F$22000,SMALL(IF(Sheet1!$A$2:$A$22000=$A$1,ROW(Sheet1!$B$2:$B$22000)),ROW($A368:$F368))-1,4)</f>
        <v>0</v>
      </c>
      <c r="F370" s="4">
        <f t="array" ref="F370">INDEX(Sheet1!$B$2:$F$22000,SMALL(IF(Sheet1!$A$2:$A$22000=$A$1,ROW(Sheet1!$B$2:$B$22000)),ROW($A368:$F368))-1,5)</f>
        <v>0</v>
      </c>
      <c r="M370" s="9">
        <v>368</v>
      </c>
      <c r="N370" s="10">
        <f t="shared" si="34"/>
        <v>0</v>
      </c>
      <c r="O370" s="11">
        <f t="shared" si="35"/>
        <v>0</v>
      </c>
      <c r="P370" s="12">
        <f t="shared" si="36"/>
        <v>0</v>
      </c>
      <c r="Q370" s="13">
        <f t="shared" si="37"/>
        <v>0</v>
      </c>
      <c r="V370" s="14">
        <f t="shared" si="33"/>
        <v>0.71875</v>
      </c>
      <c r="W370" s="10">
        <f t="shared" si="38"/>
        <v>0</v>
      </c>
      <c r="X370" s="11">
        <f t="shared" si="38"/>
        <v>0</v>
      </c>
      <c r="Y370" s="12">
        <f t="shared" si="38"/>
        <v>0</v>
      </c>
      <c r="Z370" s="13">
        <f t="shared" si="38"/>
        <v>0</v>
      </c>
    </row>
    <row r="371" spans="2:26" x14ac:dyDescent="0.25">
      <c r="B371" s="4">
        <v>369</v>
      </c>
      <c r="C371" s="4">
        <f t="array" ref="C371">INDEX(Sheet1!$B$2:$F$22000,SMALL(IF(Sheet1!$A$2:$A$22000=$A$1,ROW(Sheet1!$B$2:$B$22000)),ROW($A369:$F369))-1,2)</f>
        <v>0</v>
      </c>
      <c r="D371" s="4">
        <f t="array" ref="D371">INDEX(Sheet1!$B$2:$F$22000,SMALL(IF(Sheet1!$A$2:$A$22000=$A$1,ROW(Sheet1!$B$2:$B$22000)),ROW($A369:$F369))-1,3)</f>
        <v>0</v>
      </c>
      <c r="E371" s="4">
        <f t="array" ref="E371">INDEX(Sheet1!$B$2:$F$22000,SMALL(IF(Sheet1!$A$2:$A$22000=$A$1,ROW(Sheet1!$B$2:$B$22000)),ROW($A369:$F369))-1,4)</f>
        <v>0</v>
      </c>
      <c r="F371" s="4">
        <f t="array" ref="F371">INDEX(Sheet1!$B$2:$F$22000,SMALL(IF(Sheet1!$A$2:$A$22000=$A$1,ROW(Sheet1!$B$2:$B$22000)),ROW($A369:$F369))-1,5)</f>
        <v>0</v>
      </c>
      <c r="M371" s="9">
        <v>369</v>
      </c>
      <c r="N371" s="10">
        <f t="shared" si="34"/>
        <v>0</v>
      </c>
      <c r="O371" s="11">
        <f t="shared" si="35"/>
        <v>0</v>
      </c>
      <c r="P371" s="12">
        <f t="shared" si="36"/>
        <v>0</v>
      </c>
      <c r="Q371" s="13">
        <f t="shared" si="37"/>
        <v>0</v>
      </c>
      <c r="V371" s="14">
        <f t="shared" si="33"/>
        <v>0.720703125</v>
      </c>
      <c r="W371" s="10">
        <f t="shared" si="38"/>
        <v>0</v>
      </c>
      <c r="X371" s="11">
        <f t="shared" si="38"/>
        <v>0</v>
      </c>
      <c r="Y371" s="12">
        <f t="shared" si="38"/>
        <v>0</v>
      </c>
      <c r="Z371" s="13">
        <f t="shared" si="38"/>
        <v>0</v>
      </c>
    </row>
    <row r="372" spans="2:26" x14ac:dyDescent="0.25">
      <c r="B372" s="4">
        <v>370</v>
      </c>
      <c r="C372" s="4">
        <f t="array" ref="C372">INDEX(Sheet1!$B$2:$F$22000,SMALL(IF(Sheet1!$A$2:$A$22000=$A$1,ROW(Sheet1!$B$2:$B$22000)),ROW($A370:$F370))-1,2)</f>
        <v>0</v>
      </c>
      <c r="D372" s="4">
        <f t="array" ref="D372">INDEX(Sheet1!$B$2:$F$22000,SMALL(IF(Sheet1!$A$2:$A$22000=$A$1,ROW(Sheet1!$B$2:$B$22000)),ROW($A370:$F370))-1,3)</f>
        <v>0</v>
      </c>
      <c r="E372" s="4">
        <f t="array" ref="E372">INDEX(Sheet1!$B$2:$F$22000,SMALL(IF(Sheet1!$A$2:$A$22000=$A$1,ROW(Sheet1!$B$2:$B$22000)),ROW($A370:$F370))-1,4)</f>
        <v>0</v>
      </c>
      <c r="F372" s="4">
        <f t="array" ref="F372">INDEX(Sheet1!$B$2:$F$22000,SMALL(IF(Sheet1!$A$2:$A$22000=$A$1,ROW(Sheet1!$B$2:$B$22000)),ROW($A370:$F370))-1,5)</f>
        <v>0</v>
      </c>
      <c r="M372" s="9">
        <v>370</v>
      </c>
      <c r="N372" s="10">
        <f t="shared" si="34"/>
        <v>0</v>
      </c>
      <c r="O372" s="11">
        <f t="shared" si="35"/>
        <v>0</v>
      </c>
      <c r="P372" s="12">
        <f t="shared" si="36"/>
        <v>0</v>
      </c>
      <c r="Q372" s="13">
        <f t="shared" si="37"/>
        <v>0</v>
      </c>
      <c r="V372" s="14">
        <f t="shared" si="33"/>
        <v>0.72265625</v>
      </c>
      <c r="W372" s="10">
        <f t="shared" si="38"/>
        <v>0</v>
      </c>
      <c r="X372" s="11">
        <f t="shared" si="38"/>
        <v>0</v>
      </c>
      <c r="Y372" s="12">
        <f t="shared" si="38"/>
        <v>0</v>
      </c>
      <c r="Z372" s="13">
        <f t="shared" si="38"/>
        <v>0</v>
      </c>
    </row>
    <row r="373" spans="2:26" x14ac:dyDescent="0.25">
      <c r="B373" s="4">
        <v>371</v>
      </c>
      <c r="C373" s="4">
        <f t="array" ref="C373">INDEX(Sheet1!$B$2:$F$22000,SMALL(IF(Sheet1!$A$2:$A$22000=$A$1,ROW(Sheet1!$B$2:$B$22000)),ROW($A371:$F371))-1,2)</f>
        <v>0</v>
      </c>
      <c r="D373" s="4">
        <f t="array" ref="D373">INDEX(Sheet1!$B$2:$F$22000,SMALL(IF(Sheet1!$A$2:$A$22000=$A$1,ROW(Sheet1!$B$2:$B$22000)),ROW($A371:$F371))-1,3)</f>
        <v>0</v>
      </c>
      <c r="E373" s="4">
        <f t="array" ref="E373">INDEX(Sheet1!$B$2:$F$22000,SMALL(IF(Sheet1!$A$2:$A$22000=$A$1,ROW(Sheet1!$B$2:$B$22000)),ROW($A371:$F371))-1,4)</f>
        <v>0</v>
      </c>
      <c r="F373" s="4">
        <f t="array" ref="F373">INDEX(Sheet1!$B$2:$F$22000,SMALL(IF(Sheet1!$A$2:$A$22000=$A$1,ROW(Sheet1!$B$2:$B$22000)),ROW($A371:$F371))-1,5)</f>
        <v>0</v>
      </c>
      <c r="M373" s="9">
        <v>371</v>
      </c>
      <c r="N373" s="10">
        <f t="shared" si="34"/>
        <v>0</v>
      </c>
      <c r="O373" s="11">
        <f t="shared" si="35"/>
        <v>0</v>
      </c>
      <c r="P373" s="12">
        <f t="shared" si="36"/>
        <v>0</v>
      </c>
      <c r="Q373" s="13">
        <f t="shared" si="37"/>
        <v>0</v>
      </c>
      <c r="V373" s="14">
        <f t="shared" si="33"/>
        <v>0.724609375</v>
      </c>
      <c r="W373" s="10">
        <f t="shared" si="38"/>
        <v>0</v>
      </c>
      <c r="X373" s="11">
        <f t="shared" si="38"/>
        <v>0</v>
      </c>
      <c r="Y373" s="12">
        <f t="shared" si="38"/>
        <v>0</v>
      </c>
      <c r="Z373" s="13">
        <f t="shared" si="38"/>
        <v>0</v>
      </c>
    </row>
    <row r="374" spans="2:26" x14ac:dyDescent="0.25">
      <c r="B374" s="4">
        <v>372</v>
      </c>
      <c r="C374" s="4">
        <f t="array" ref="C374">INDEX(Sheet1!$B$2:$F$22000,SMALL(IF(Sheet1!$A$2:$A$22000=$A$1,ROW(Sheet1!$B$2:$B$22000)),ROW($A372:$F372))-1,2)</f>
        <v>0</v>
      </c>
      <c r="D374" s="4">
        <f t="array" ref="D374">INDEX(Sheet1!$B$2:$F$22000,SMALL(IF(Sheet1!$A$2:$A$22000=$A$1,ROW(Sheet1!$B$2:$B$22000)),ROW($A372:$F372))-1,3)</f>
        <v>0</v>
      </c>
      <c r="E374" s="4">
        <f t="array" ref="E374">INDEX(Sheet1!$B$2:$F$22000,SMALL(IF(Sheet1!$A$2:$A$22000=$A$1,ROW(Sheet1!$B$2:$B$22000)),ROW($A372:$F372))-1,4)</f>
        <v>0</v>
      </c>
      <c r="F374" s="4">
        <f t="array" ref="F374">INDEX(Sheet1!$B$2:$F$22000,SMALL(IF(Sheet1!$A$2:$A$22000=$A$1,ROW(Sheet1!$B$2:$B$22000)),ROW($A372:$F372))-1,5)</f>
        <v>0</v>
      </c>
      <c r="M374" s="9">
        <v>372</v>
      </c>
      <c r="N374" s="10">
        <f t="shared" si="34"/>
        <v>0</v>
      </c>
      <c r="O374" s="11">
        <f t="shared" si="35"/>
        <v>0</v>
      </c>
      <c r="P374" s="12">
        <f t="shared" si="36"/>
        <v>0</v>
      </c>
      <c r="Q374" s="13">
        <f t="shared" si="37"/>
        <v>0</v>
      </c>
      <c r="V374" s="14">
        <f t="shared" si="33"/>
        <v>0.7265625</v>
      </c>
      <c r="W374" s="10">
        <f t="shared" si="38"/>
        <v>0</v>
      </c>
      <c r="X374" s="11">
        <f t="shared" si="38"/>
        <v>0</v>
      </c>
      <c r="Y374" s="12">
        <f t="shared" si="38"/>
        <v>0</v>
      </c>
      <c r="Z374" s="13">
        <f t="shared" si="38"/>
        <v>0</v>
      </c>
    </row>
    <row r="375" spans="2:26" x14ac:dyDescent="0.25">
      <c r="B375" s="4">
        <v>373</v>
      </c>
      <c r="C375" s="4">
        <f t="array" ref="C375">INDEX(Sheet1!$B$2:$F$22000,SMALL(IF(Sheet1!$A$2:$A$22000=$A$1,ROW(Sheet1!$B$2:$B$22000)),ROW($A373:$F373))-1,2)</f>
        <v>0</v>
      </c>
      <c r="D375" s="4">
        <f t="array" ref="D375">INDEX(Sheet1!$B$2:$F$22000,SMALL(IF(Sheet1!$A$2:$A$22000=$A$1,ROW(Sheet1!$B$2:$B$22000)),ROW($A373:$F373))-1,3)</f>
        <v>0</v>
      </c>
      <c r="E375" s="4">
        <f t="array" ref="E375">INDEX(Sheet1!$B$2:$F$22000,SMALL(IF(Sheet1!$A$2:$A$22000=$A$1,ROW(Sheet1!$B$2:$B$22000)),ROW($A373:$F373))-1,4)</f>
        <v>0</v>
      </c>
      <c r="F375" s="4">
        <f t="array" ref="F375">INDEX(Sheet1!$B$2:$F$22000,SMALL(IF(Sheet1!$A$2:$A$22000=$A$1,ROW(Sheet1!$B$2:$B$22000)),ROW($A373:$F373))-1,5)</f>
        <v>0</v>
      </c>
      <c r="M375" s="9">
        <v>373</v>
      </c>
      <c r="N375" s="10">
        <f t="shared" si="34"/>
        <v>0</v>
      </c>
      <c r="O375" s="11">
        <f t="shared" si="35"/>
        <v>0</v>
      </c>
      <c r="P375" s="12">
        <f t="shared" si="36"/>
        <v>0</v>
      </c>
      <c r="Q375" s="13">
        <f t="shared" si="37"/>
        <v>0</v>
      </c>
      <c r="V375" s="14">
        <f t="shared" si="33"/>
        <v>0.728515625</v>
      </c>
      <c r="W375" s="10">
        <f t="shared" si="38"/>
        <v>0</v>
      </c>
      <c r="X375" s="11">
        <f t="shared" si="38"/>
        <v>0</v>
      </c>
      <c r="Y375" s="12">
        <f t="shared" si="38"/>
        <v>0</v>
      </c>
      <c r="Z375" s="13">
        <f t="shared" si="38"/>
        <v>0</v>
      </c>
    </row>
    <row r="376" spans="2:26" x14ac:dyDescent="0.25">
      <c r="B376" s="4">
        <v>374</v>
      </c>
      <c r="C376" s="4">
        <f t="array" ref="C376">INDEX(Sheet1!$B$2:$F$22000,SMALL(IF(Sheet1!$A$2:$A$22000=$A$1,ROW(Sheet1!$B$2:$B$22000)),ROW($A374:$F374))-1,2)</f>
        <v>0</v>
      </c>
      <c r="D376" s="4">
        <f t="array" ref="D376">INDEX(Sheet1!$B$2:$F$22000,SMALL(IF(Sheet1!$A$2:$A$22000=$A$1,ROW(Sheet1!$B$2:$B$22000)),ROW($A374:$F374))-1,3)</f>
        <v>0</v>
      </c>
      <c r="E376" s="4">
        <f t="array" ref="E376">INDEX(Sheet1!$B$2:$F$22000,SMALL(IF(Sheet1!$A$2:$A$22000=$A$1,ROW(Sheet1!$B$2:$B$22000)),ROW($A374:$F374))-1,4)</f>
        <v>0</v>
      </c>
      <c r="F376" s="4">
        <f t="array" ref="F376">INDEX(Sheet1!$B$2:$F$22000,SMALL(IF(Sheet1!$A$2:$A$22000=$A$1,ROW(Sheet1!$B$2:$B$22000)),ROW($A374:$F374))-1,5)</f>
        <v>0</v>
      </c>
      <c r="M376" s="9">
        <v>374</v>
      </c>
      <c r="N376" s="10">
        <f t="shared" si="34"/>
        <v>0</v>
      </c>
      <c r="O376" s="11">
        <f t="shared" si="35"/>
        <v>0</v>
      </c>
      <c r="P376" s="12">
        <f t="shared" si="36"/>
        <v>0</v>
      </c>
      <c r="Q376" s="13">
        <f t="shared" si="37"/>
        <v>0</v>
      </c>
      <c r="V376" s="14">
        <f t="shared" si="33"/>
        <v>0.73046875</v>
      </c>
      <c r="W376" s="10">
        <f t="shared" si="38"/>
        <v>0</v>
      </c>
      <c r="X376" s="11">
        <f t="shared" si="38"/>
        <v>0</v>
      </c>
      <c r="Y376" s="12">
        <f t="shared" si="38"/>
        <v>0</v>
      </c>
      <c r="Z376" s="13">
        <f t="shared" si="38"/>
        <v>0</v>
      </c>
    </row>
    <row r="377" spans="2:26" x14ac:dyDescent="0.25">
      <c r="B377" s="4">
        <v>375</v>
      </c>
      <c r="C377" s="4">
        <f t="array" ref="C377">INDEX(Sheet1!$B$2:$F$22000,SMALL(IF(Sheet1!$A$2:$A$22000=$A$1,ROW(Sheet1!$B$2:$B$22000)),ROW($A375:$F375))-1,2)</f>
        <v>0</v>
      </c>
      <c r="D377" s="4">
        <f t="array" ref="D377">INDEX(Sheet1!$B$2:$F$22000,SMALL(IF(Sheet1!$A$2:$A$22000=$A$1,ROW(Sheet1!$B$2:$B$22000)),ROW($A375:$F375))-1,3)</f>
        <v>0</v>
      </c>
      <c r="E377" s="4">
        <f t="array" ref="E377">INDEX(Sheet1!$B$2:$F$22000,SMALL(IF(Sheet1!$A$2:$A$22000=$A$1,ROW(Sheet1!$B$2:$B$22000)),ROW($A375:$F375))-1,4)</f>
        <v>0</v>
      </c>
      <c r="F377" s="4">
        <f t="array" ref="F377">INDEX(Sheet1!$B$2:$F$22000,SMALL(IF(Sheet1!$A$2:$A$22000=$A$1,ROW(Sheet1!$B$2:$B$22000)),ROW($A375:$F375))-1,5)</f>
        <v>0</v>
      </c>
      <c r="M377" s="9">
        <v>375</v>
      </c>
      <c r="N377" s="10">
        <f t="shared" si="34"/>
        <v>0</v>
      </c>
      <c r="O377" s="11">
        <f t="shared" si="35"/>
        <v>0</v>
      </c>
      <c r="P377" s="12">
        <f t="shared" si="36"/>
        <v>0</v>
      </c>
      <c r="Q377" s="13">
        <f t="shared" si="37"/>
        <v>0</v>
      </c>
      <c r="V377" s="14">
        <f t="shared" si="33"/>
        <v>0.732421875</v>
      </c>
      <c r="W377" s="10">
        <f t="shared" si="38"/>
        <v>0</v>
      </c>
      <c r="X377" s="11">
        <f t="shared" si="38"/>
        <v>0</v>
      </c>
      <c r="Y377" s="12">
        <f t="shared" si="38"/>
        <v>0</v>
      </c>
      <c r="Z377" s="13">
        <f t="shared" si="38"/>
        <v>0</v>
      </c>
    </row>
    <row r="378" spans="2:26" x14ac:dyDescent="0.25">
      <c r="B378" s="4">
        <v>376</v>
      </c>
      <c r="C378" s="4">
        <f t="array" ref="C378">INDEX(Sheet1!$B$2:$F$22000,SMALL(IF(Sheet1!$A$2:$A$22000=$A$1,ROW(Sheet1!$B$2:$B$22000)),ROW($A376:$F376))-1,2)</f>
        <v>0</v>
      </c>
      <c r="D378" s="4">
        <f t="array" ref="D378">INDEX(Sheet1!$B$2:$F$22000,SMALL(IF(Sheet1!$A$2:$A$22000=$A$1,ROW(Sheet1!$B$2:$B$22000)),ROW($A376:$F376))-1,3)</f>
        <v>0</v>
      </c>
      <c r="E378" s="4">
        <f t="array" ref="E378">INDEX(Sheet1!$B$2:$F$22000,SMALL(IF(Sheet1!$A$2:$A$22000=$A$1,ROW(Sheet1!$B$2:$B$22000)),ROW($A376:$F376))-1,4)</f>
        <v>0</v>
      </c>
      <c r="F378" s="4">
        <f t="array" ref="F378">INDEX(Sheet1!$B$2:$F$22000,SMALL(IF(Sheet1!$A$2:$A$22000=$A$1,ROW(Sheet1!$B$2:$B$22000)),ROW($A376:$F376))-1,5)</f>
        <v>0</v>
      </c>
      <c r="M378" s="9">
        <v>376</v>
      </c>
      <c r="N378" s="10">
        <f t="shared" si="34"/>
        <v>0</v>
      </c>
      <c r="O378" s="11">
        <f t="shared" si="35"/>
        <v>0</v>
      </c>
      <c r="P378" s="12">
        <f t="shared" si="36"/>
        <v>0</v>
      </c>
      <c r="Q378" s="13">
        <f t="shared" si="37"/>
        <v>0</v>
      </c>
      <c r="V378" s="14">
        <f t="shared" si="33"/>
        <v>0.734375</v>
      </c>
      <c r="W378" s="10">
        <f t="shared" si="38"/>
        <v>0</v>
      </c>
      <c r="X378" s="11">
        <f t="shared" si="38"/>
        <v>0</v>
      </c>
      <c r="Y378" s="12">
        <f t="shared" si="38"/>
        <v>0</v>
      </c>
      <c r="Z378" s="13">
        <f t="shared" si="38"/>
        <v>0</v>
      </c>
    </row>
    <row r="379" spans="2:26" x14ac:dyDescent="0.25">
      <c r="B379" s="4">
        <v>377</v>
      </c>
      <c r="C379" s="4">
        <f t="array" ref="C379">INDEX(Sheet1!$B$2:$F$22000,SMALL(IF(Sheet1!$A$2:$A$22000=$A$1,ROW(Sheet1!$B$2:$B$22000)),ROW($A377:$F377))-1,2)</f>
        <v>0</v>
      </c>
      <c r="D379" s="4">
        <f t="array" ref="D379">INDEX(Sheet1!$B$2:$F$22000,SMALL(IF(Sheet1!$A$2:$A$22000=$A$1,ROW(Sheet1!$B$2:$B$22000)),ROW($A377:$F377))-1,3)</f>
        <v>0</v>
      </c>
      <c r="E379" s="4">
        <f t="array" ref="E379">INDEX(Sheet1!$B$2:$F$22000,SMALL(IF(Sheet1!$A$2:$A$22000=$A$1,ROW(Sheet1!$B$2:$B$22000)),ROW($A377:$F377))-1,4)</f>
        <v>0</v>
      </c>
      <c r="F379" s="4">
        <f t="array" ref="F379">INDEX(Sheet1!$B$2:$F$22000,SMALL(IF(Sheet1!$A$2:$A$22000=$A$1,ROW(Sheet1!$B$2:$B$22000)),ROW($A377:$F377))-1,5)</f>
        <v>0</v>
      </c>
      <c r="M379" s="9">
        <v>377</v>
      </c>
      <c r="N379" s="10">
        <f t="shared" si="34"/>
        <v>0</v>
      </c>
      <c r="O379" s="11">
        <f t="shared" si="35"/>
        <v>0</v>
      </c>
      <c r="P379" s="12">
        <f t="shared" si="36"/>
        <v>0</v>
      </c>
      <c r="Q379" s="13">
        <f t="shared" si="37"/>
        <v>0</v>
      </c>
      <c r="V379" s="14">
        <f t="shared" si="33"/>
        <v>0.736328125</v>
      </c>
      <c r="W379" s="10">
        <f t="shared" si="38"/>
        <v>0</v>
      </c>
      <c r="X379" s="11">
        <f t="shared" si="38"/>
        <v>0</v>
      </c>
      <c r="Y379" s="12">
        <f t="shared" si="38"/>
        <v>0</v>
      </c>
      <c r="Z379" s="13">
        <f t="shared" si="38"/>
        <v>0</v>
      </c>
    </row>
    <row r="380" spans="2:26" x14ac:dyDescent="0.25">
      <c r="B380" s="4">
        <v>378</v>
      </c>
      <c r="C380" s="4">
        <f t="array" ref="C380">INDEX(Sheet1!$B$2:$F$22000,SMALL(IF(Sheet1!$A$2:$A$22000=$A$1,ROW(Sheet1!$B$2:$B$22000)),ROW($A378:$F378))-1,2)</f>
        <v>0</v>
      </c>
      <c r="D380" s="4">
        <f t="array" ref="D380">INDEX(Sheet1!$B$2:$F$22000,SMALL(IF(Sheet1!$A$2:$A$22000=$A$1,ROW(Sheet1!$B$2:$B$22000)),ROW($A378:$F378))-1,3)</f>
        <v>0</v>
      </c>
      <c r="E380" s="4">
        <f t="array" ref="E380">INDEX(Sheet1!$B$2:$F$22000,SMALL(IF(Sheet1!$A$2:$A$22000=$A$1,ROW(Sheet1!$B$2:$B$22000)),ROW($A378:$F378))-1,4)</f>
        <v>0</v>
      </c>
      <c r="F380" s="4">
        <f t="array" ref="F380">INDEX(Sheet1!$B$2:$F$22000,SMALL(IF(Sheet1!$A$2:$A$22000=$A$1,ROW(Sheet1!$B$2:$B$22000)),ROW($A378:$F378))-1,5)</f>
        <v>0</v>
      </c>
      <c r="M380" s="9">
        <v>378</v>
      </c>
      <c r="N380" s="10">
        <f t="shared" si="34"/>
        <v>0</v>
      </c>
      <c r="O380" s="11">
        <f t="shared" si="35"/>
        <v>0</v>
      </c>
      <c r="P380" s="12">
        <f t="shared" si="36"/>
        <v>0</v>
      </c>
      <c r="Q380" s="13">
        <f t="shared" si="37"/>
        <v>0</v>
      </c>
      <c r="V380" s="14">
        <f t="shared" si="33"/>
        <v>0.73828125</v>
      </c>
      <c r="W380" s="10">
        <f t="shared" si="38"/>
        <v>0</v>
      </c>
      <c r="X380" s="11">
        <f t="shared" si="38"/>
        <v>0</v>
      </c>
      <c r="Y380" s="12">
        <f t="shared" si="38"/>
        <v>0</v>
      </c>
      <c r="Z380" s="13">
        <f t="shared" si="38"/>
        <v>0</v>
      </c>
    </row>
    <row r="381" spans="2:26" x14ac:dyDescent="0.25">
      <c r="B381" s="4">
        <v>379</v>
      </c>
      <c r="C381" s="4">
        <f t="array" ref="C381">INDEX(Sheet1!$B$2:$F$22000,SMALL(IF(Sheet1!$A$2:$A$22000=$A$1,ROW(Sheet1!$B$2:$B$22000)),ROW($A379:$F379))-1,2)</f>
        <v>0</v>
      </c>
      <c r="D381" s="4">
        <f t="array" ref="D381">INDEX(Sheet1!$B$2:$F$22000,SMALL(IF(Sheet1!$A$2:$A$22000=$A$1,ROW(Sheet1!$B$2:$B$22000)),ROW($A379:$F379))-1,3)</f>
        <v>0</v>
      </c>
      <c r="E381" s="4">
        <f t="array" ref="E381">INDEX(Sheet1!$B$2:$F$22000,SMALL(IF(Sheet1!$A$2:$A$22000=$A$1,ROW(Sheet1!$B$2:$B$22000)),ROW($A379:$F379))-1,4)</f>
        <v>0</v>
      </c>
      <c r="F381" s="4">
        <f t="array" ref="F381">INDEX(Sheet1!$B$2:$F$22000,SMALL(IF(Sheet1!$A$2:$A$22000=$A$1,ROW(Sheet1!$B$2:$B$22000)),ROW($A379:$F379))-1,5)</f>
        <v>0</v>
      </c>
      <c r="M381" s="9">
        <v>379</v>
      </c>
      <c r="N381" s="10">
        <f t="shared" si="34"/>
        <v>0</v>
      </c>
      <c r="O381" s="11">
        <f t="shared" si="35"/>
        <v>0</v>
      </c>
      <c r="P381" s="12">
        <f t="shared" si="36"/>
        <v>0</v>
      </c>
      <c r="Q381" s="13">
        <f t="shared" si="37"/>
        <v>0</v>
      </c>
      <c r="V381" s="14">
        <f t="shared" si="33"/>
        <v>0.740234375</v>
      </c>
      <c r="W381" s="10">
        <f t="shared" si="38"/>
        <v>0</v>
      </c>
      <c r="X381" s="11">
        <f t="shared" si="38"/>
        <v>0</v>
      </c>
      <c r="Y381" s="12">
        <f t="shared" si="38"/>
        <v>0</v>
      </c>
      <c r="Z381" s="13">
        <f t="shared" si="38"/>
        <v>0</v>
      </c>
    </row>
    <row r="382" spans="2:26" x14ac:dyDescent="0.25">
      <c r="B382" s="4">
        <v>380</v>
      </c>
      <c r="C382" s="4">
        <f t="array" ref="C382">INDEX(Sheet1!$B$2:$F$22000,SMALL(IF(Sheet1!$A$2:$A$22000=$A$1,ROW(Sheet1!$B$2:$B$22000)),ROW($A380:$F380))-1,2)</f>
        <v>0</v>
      </c>
      <c r="D382" s="4">
        <f t="array" ref="D382">INDEX(Sheet1!$B$2:$F$22000,SMALL(IF(Sheet1!$A$2:$A$22000=$A$1,ROW(Sheet1!$B$2:$B$22000)),ROW($A380:$F380))-1,3)</f>
        <v>0</v>
      </c>
      <c r="E382" s="4">
        <f t="array" ref="E382">INDEX(Sheet1!$B$2:$F$22000,SMALL(IF(Sheet1!$A$2:$A$22000=$A$1,ROW(Sheet1!$B$2:$B$22000)),ROW($A380:$F380))-1,4)</f>
        <v>0</v>
      </c>
      <c r="F382" s="4">
        <f t="array" ref="F382">INDEX(Sheet1!$B$2:$F$22000,SMALL(IF(Sheet1!$A$2:$A$22000=$A$1,ROW(Sheet1!$B$2:$B$22000)),ROW($A380:$F380))-1,5)</f>
        <v>0</v>
      </c>
      <c r="M382" s="9">
        <v>380</v>
      </c>
      <c r="N382" s="10">
        <f t="shared" si="34"/>
        <v>0</v>
      </c>
      <c r="O382" s="11">
        <f t="shared" si="35"/>
        <v>0</v>
      </c>
      <c r="P382" s="12">
        <f t="shared" si="36"/>
        <v>0</v>
      </c>
      <c r="Q382" s="13">
        <f t="shared" si="37"/>
        <v>0</v>
      </c>
      <c r="V382" s="14">
        <f t="shared" si="33"/>
        <v>0.7421875</v>
      </c>
      <c r="W382" s="10">
        <f t="shared" si="38"/>
        <v>0</v>
      </c>
      <c r="X382" s="11">
        <f t="shared" si="38"/>
        <v>0</v>
      </c>
      <c r="Y382" s="12">
        <f t="shared" si="38"/>
        <v>0</v>
      </c>
      <c r="Z382" s="13">
        <f t="shared" si="38"/>
        <v>0</v>
      </c>
    </row>
    <row r="383" spans="2:26" x14ac:dyDescent="0.25">
      <c r="B383" s="4">
        <v>381</v>
      </c>
      <c r="C383" s="4">
        <f t="array" ref="C383">INDEX(Sheet1!$B$2:$F$22000,SMALL(IF(Sheet1!$A$2:$A$22000=$A$1,ROW(Sheet1!$B$2:$B$22000)),ROW($A381:$F381))-1,2)</f>
        <v>0</v>
      </c>
      <c r="D383" s="4">
        <f t="array" ref="D383">INDEX(Sheet1!$B$2:$F$22000,SMALL(IF(Sheet1!$A$2:$A$22000=$A$1,ROW(Sheet1!$B$2:$B$22000)),ROW($A381:$F381))-1,3)</f>
        <v>0</v>
      </c>
      <c r="E383" s="4">
        <f t="array" ref="E383">INDEX(Sheet1!$B$2:$F$22000,SMALL(IF(Sheet1!$A$2:$A$22000=$A$1,ROW(Sheet1!$B$2:$B$22000)),ROW($A381:$F381))-1,4)</f>
        <v>0</v>
      </c>
      <c r="F383" s="4">
        <f t="array" ref="F383">INDEX(Sheet1!$B$2:$F$22000,SMALL(IF(Sheet1!$A$2:$A$22000=$A$1,ROW(Sheet1!$B$2:$B$22000)),ROW($A381:$F381))-1,5)</f>
        <v>0</v>
      </c>
      <c r="M383" s="9">
        <v>381</v>
      </c>
      <c r="N383" s="10">
        <f t="shared" si="34"/>
        <v>0</v>
      </c>
      <c r="O383" s="11">
        <f t="shared" si="35"/>
        <v>0</v>
      </c>
      <c r="P383" s="12">
        <f t="shared" si="36"/>
        <v>0</v>
      </c>
      <c r="Q383" s="13">
        <f t="shared" si="37"/>
        <v>0</v>
      </c>
      <c r="V383" s="14">
        <f t="shared" si="33"/>
        <v>0.744140625</v>
      </c>
      <c r="W383" s="10">
        <f t="shared" si="38"/>
        <v>0</v>
      </c>
      <c r="X383" s="11">
        <f t="shared" si="38"/>
        <v>0</v>
      </c>
      <c r="Y383" s="12">
        <f t="shared" si="38"/>
        <v>0</v>
      </c>
      <c r="Z383" s="13">
        <f t="shared" si="38"/>
        <v>0</v>
      </c>
    </row>
    <row r="384" spans="2:26" x14ac:dyDescent="0.25">
      <c r="B384" s="4">
        <v>382</v>
      </c>
      <c r="C384" s="4">
        <f t="array" ref="C384">INDEX(Sheet1!$B$2:$F$22000,SMALL(IF(Sheet1!$A$2:$A$22000=$A$1,ROW(Sheet1!$B$2:$B$22000)),ROW($A382:$F382))-1,2)</f>
        <v>0</v>
      </c>
      <c r="D384" s="4">
        <f t="array" ref="D384">INDEX(Sheet1!$B$2:$F$22000,SMALL(IF(Sheet1!$A$2:$A$22000=$A$1,ROW(Sheet1!$B$2:$B$22000)),ROW($A382:$F382))-1,3)</f>
        <v>0</v>
      </c>
      <c r="E384" s="4">
        <f t="array" ref="E384">INDEX(Sheet1!$B$2:$F$22000,SMALL(IF(Sheet1!$A$2:$A$22000=$A$1,ROW(Sheet1!$B$2:$B$22000)),ROW($A382:$F382))-1,4)</f>
        <v>0</v>
      </c>
      <c r="F384" s="4">
        <f t="array" ref="F384">INDEX(Sheet1!$B$2:$F$22000,SMALL(IF(Sheet1!$A$2:$A$22000=$A$1,ROW(Sheet1!$B$2:$B$22000)),ROW($A382:$F382))-1,5)</f>
        <v>0</v>
      </c>
      <c r="M384" s="9">
        <v>382</v>
      </c>
      <c r="N384" s="10">
        <f t="shared" si="34"/>
        <v>0</v>
      </c>
      <c r="O384" s="11">
        <f t="shared" si="35"/>
        <v>0</v>
      </c>
      <c r="P384" s="12">
        <f t="shared" si="36"/>
        <v>0</v>
      </c>
      <c r="Q384" s="13">
        <f t="shared" si="37"/>
        <v>0</v>
      </c>
      <c r="V384" s="14">
        <f t="shared" si="33"/>
        <v>0.74609375</v>
      </c>
      <c r="W384" s="10">
        <f t="shared" si="38"/>
        <v>0</v>
      </c>
      <c r="X384" s="11">
        <f t="shared" si="38"/>
        <v>0</v>
      </c>
      <c r="Y384" s="12">
        <f t="shared" si="38"/>
        <v>0</v>
      </c>
      <c r="Z384" s="13">
        <f t="shared" si="38"/>
        <v>0</v>
      </c>
    </row>
    <row r="385" spans="2:26" x14ac:dyDescent="0.25">
      <c r="B385" s="4">
        <v>383</v>
      </c>
      <c r="C385" s="4">
        <f t="array" ref="C385">INDEX(Sheet1!$B$2:$F$22000,SMALL(IF(Sheet1!$A$2:$A$22000=$A$1,ROW(Sheet1!$B$2:$B$22000)),ROW($A383:$F383))-1,2)</f>
        <v>0</v>
      </c>
      <c r="D385" s="4">
        <f t="array" ref="D385">INDEX(Sheet1!$B$2:$F$22000,SMALL(IF(Sheet1!$A$2:$A$22000=$A$1,ROW(Sheet1!$B$2:$B$22000)),ROW($A383:$F383))-1,3)</f>
        <v>0</v>
      </c>
      <c r="E385" s="4">
        <f t="array" ref="E385">INDEX(Sheet1!$B$2:$F$22000,SMALL(IF(Sheet1!$A$2:$A$22000=$A$1,ROW(Sheet1!$B$2:$B$22000)),ROW($A383:$F383))-1,4)</f>
        <v>0</v>
      </c>
      <c r="F385" s="4">
        <f t="array" ref="F385">INDEX(Sheet1!$B$2:$F$22000,SMALL(IF(Sheet1!$A$2:$A$22000=$A$1,ROW(Sheet1!$B$2:$B$22000)),ROW($A383:$F383))-1,5)</f>
        <v>0</v>
      </c>
      <c r="M385" s="9">
        <v>383</v>
      </c>
      <c r="N385" s="10">
        <f t="shared" si="34"/>
        <v>0</v>
      </c>
      <c r="O385" s="11">
        <f t="shared" si="35"/>
        <v>0</v>
      </c>
      <c r="P385" s="12">
        <f t="shared" si="36"/>
        <v>0</v>
      </c>
      <c r="Q385" s="13">
        <f t="shared" si="37"/>
        <v>0</v>
      </c>
      <c r="V385" s="14">
        <f t="shared" si="33"/>
        <v>0.748046875</v>
      </c>
      <c r="W385" s="10">
        <f t="shared" si="38"/>
        <v>0</v>
      </c>
      <c r="X385" s="11">
        <f t="shared" si="38"/>
        <v>0</v>
      </c>
      <c r="Y385" s="12">
        <f t="shared" si="38"/>
        <v>0</v>
      </c>
      <c r="Z385" s="13">
        <f t="shared" si="38"/>
        <v>0</v>
      </c>
    </row>
    <row r="386" spans="2:26" x14ac:dyDescent="0.25">
      <c r="B386" s="4">
        <v>384</v>
      </c>
      <c r="C386" s="4">
        <f t="array" ref="C386">INDEX(Sheet1!$B$2:$F$22000,SMALL(IF(Sheet1!$A$2:$A$22000=$A$1,ROW(Sheet1!$B$2:$B$22000)),ROW($A384:$F384))-1,2)</f>
        <v>0</v>
      </c>
      <c r="D386" s="4">
        <f t="array" ref="D386">INDEX(Sheet1!$B$2:$F$22000,SMALL(IF(Sheet1!$A$2:$A$22000=$A$1,ROW(Sheet1!$B$2:$B$22000)),ROW($A384:$F384))-1,3)</f>
        <v>0</v>
      </c>
      <c r="E386" s="4">
        <f t="array" ref="E386">INDEX(Sheet1!$B$2:$F$22000,SMALL(IF(Sheet1!$A$2:$A$22000=$A$1,ROW(Sheet1!$B$2:$B$22000)),ROW($A384:$F384))-1,4)</f>
        <v>0</v>
      </c>
      <c r="F386" s="4">
        <f t="array" ref="F386">INDEX(Sheet1!$B$2:$F$22000,SMALL(IF(Sheet1!$A$2:$A$22000=$A$1,ROW(Sheet1!$B$2:$B$22000)),ROW($A384:$F384))-1,5)</f>
        <v>0</v>
      </c>
      <c r="M386" s="9">
        <v>384</v>
      </c>
      <c r="N386" s="10">
        <f t="shared" si="34"/>
        <v>0</v>
      </c>
      <c r="O386" s="11">
        <f t="shared" si="35"/>
        <v>0</v>
      </c>
      <c r="P386" s="12">
        <f t="shared" si="36"/>
        <v>0</v>
      </c>
      <c r="Q386" s="13">
        <f t="shared" si="37"/>
        <v>0</v>
      </c>
      <c r="V386" s="14">
        <f t="shared" ref="V386:V449" si="39">$M386*(1/512)</f>
        <v>0.75</v>
      </c>
      <c r="W386" s="10">
        <f t="shared" si="38"/>
        <v>0</v>
      </c>
      <c r="X386" s="11">
        <f t="shared" si="38"/>
        <v>0</v>
      </c>
      <c r="Y386" s="12">
        <f t="shared" si="38"/>
        <v>0</v>
      </c>
      <c r="Z386" s="13">
        <f t="shared" si="38"/>
        <v>0</v>
      </c>
    </row>
    <row r="387" spans="2:26" x14ac:dyDescent="0.25">
      <c r="B387" s="4">
        <v>385</v>
      </c>
      <c r="C387" s="4">
        <f t="array" ref="C387">INDEX(Sheet1!$B$2:$F$22000,SMALL(IF(Sheet1!$A$2:$A$22000=$A$1,ROW(Sheet1!$B$2:$B$22000)),ROW($A385:$F385))-1,2)</f>
        <v>0</v>
      </c>
      <c r="D387" s="4">
        <f t="array" ref="D387">INDEX(Sheet1!$B$2:$F$22000,SMALL(IF(Sheet1!$A$2:$A$22000=$A$1,ROW(Sheet1!$B$2:$B$22000)),ROW($A385:$F385))-1,3)</f>
        <v>0</v>
      </c>
      <c r="E387" s="4">
        <f t="array" ref="E387">INDEX(Sheet1!$B$2:$F$22000,SMALL(IF(Sheet1!$A$2:$A$22000=$A$1,ROW(Sheet1!$B$2:$B$22000)),ROW($A385:$F385))-1,4)</f>
        <v>0</v>
      </c>
      <c r="F387" s="4">
        <f t="array" ref="F387">INDEX(Sheet1!$B$2:$F$22000,SMALL(IF(Sheet1!$A$2:$A$22000=$A$1,ROW(Sheet1!$B$2:$B$22000)),ROW($A385:$F385))-1,5)</f>
        <v>0</v>
      </c>
      <c r="M387" s="9">
        <v>385</v>
      </c>
      <c r="N387" s="10">
        <f t="shared" si="34"/>
        <v>0</v>
      </c>
      <c r="O387" s="11">
        <f t="shared" si="35"/>
        <v>0</v>
      </c>
      <c r="P387" s="12">
        <f t="shared" si="36"/>
        <v>0</v>
      </c>
      <c r="Q387" s="13">
        <f t="shared" si="37"/>
        <v>0</v>
      </c>
      <c r="V387" s="14">
        <f t="shared" si="39"/>
        <v>0.751953125</v>
      </c>
      <c r="W387" s="10">
        <f t="shared" si="38"/>
        <v>0</v>
      </c>
      <c r="X387" s="11">
        <f t="shared" si="38"/>
        <v>0</v>
      </c>
      <c r="Y387" s="12">
        <f t="shared" si="38"/>
        <v>0</v>
      </c>
      <c r="Z387" s="13">
        <f t="shared" ref="Z387:Z450" si="40">IMABS(U387)</f>
        <v>0</v>
      </c>
    </row>
    <row r="388" spans="2:26" x14ac:dyDescent="0.25">
      <c r="B388" s="4">
        <v>386</v>
      </c>
      <c r="C388" s="4">
        <f t="array" ref="C388">INDEX(Sheet1!$B$2:$F$22000,SMALL(IF(Sheet1!$A$2:$A$22000=$A$1,ROW(Sheet1!$B$2:$B$22000)),ROW($A386:$F386))-1,2)</f>
        <v>0</v>
      </c>
      <c r="D388" s="4">
        <f t="array" ref="D388">INDEX(Sheet1!$B$2:$F$22000,SMALL(IF(Sheet1!$A$2:$A$22000=$A$1,ROW(Sheet1!$B$2:$B$22000)),ROW($A386:$F386))-1,3)</f>
        <v>0</v>
      </c>
      <c r="E388" s="4">
        <f t="array" ref="E388">INDEX(Sheet1!$B$2:$F$22000,SMALL(IF(Sheet1!$A$2:$A$22000=$A$1,ROW(Sheet1!$B$2:$B$22000)),ROW($A386:$F386))-1,4)</f>
        <v>0</v>
      </c>
      <c r="F388" s="4">
        <f t="array" ref="F388">INDEX(Sheet1!$B$2:$F$22000,SMALL(IF(Sheet1!$A$2:$A$22000=$A$1,ROW(Sheet1!$B$2:$B$22000)),ROW($A386:$F386))-1,5)</f>
        <v>0</v>
      </c>
      <c r="M388" s="9">
        <v>386</v>
      </c>
      <c r="N388" s="10">
        <f t="shared" ref="N388:N451" si="41">C388</f>
        <v>0</v>
      </c>
      <c r="O388" s="11">
        <f t="shared" ref="O388:O451" si="42">D388</f>
        <v>0</v>
      </c>
      <c r="P388" s="12">
        <f t="shared" ref="P388:P451" si="43">E388</f>
        <v>0</v>
      </c>
      <c r="Q388" s="13">
        <f t="shared" ref="Q388:Q451" si="44">F388</f>
        <v>0</v>
      </c>
      <c r="V388" s="14">
        <f t="shared" si="39"/>
        <v>0.75390625</v>
      </c>
      <c r="W388" s="10">
        <f t="shared" ref="W388:Z451" si="45">IMABS(R388)</f>
        <v>0</v>
      </c>
      <c r="X388" s="11">
        <f t="shared" si="45"/>
        <v>0</v>
      </c>
      <c r="Y388" s="12">
        <f t="shared" si="45"/>
        <v>0</v>
      </c>
      <c r="Z388" s="13">
        <f t="shared" si="40"/>
        <v>0</v>
      </c>
    </row>
    <row r="389" spans="2:26" x14ac:dyDescent="0.25">
      <c r="B389" s="4">
        <v>387</v>
      </c>
      <c r="C389" s="4">
        <f t="array" ref="C389">INDEX(Sheet1!$B$2:$F$22000,SMALL(IF(Sheet1!$A$2:$A$22000=$A$1,ROW(Sheet1!$B$2:$B$22000)),ROW($A387:$F387))-1,2)</f>
        <v>0</v>
      </c>
      <c r="D389" s="4">
        <f t="array" ref="D389">INDEX(Sheet1!$B$2:$F$22000,SMALL(IF(Sheet1!$A$2:$A$22000=$A$1,ROW(Sheet1!$B$2:$B$22000)),ROW($A387:$F387))-1,3)</f>
        <v>0</v>
      </c>
      <c r="E389" s="4">
        <f t="array" ref="E389">INDEX(Sheet1!$B$2:$F$22000,SMALL(IF(Sheet1!$A$2:$A$22000=$A$1,ROW(Sheet1!$B$2:$B$22000)),ROW($A387:$F387))-1,4)</f>
        <v>0</v>
      </c>
      <c r="F389" s="4">
        <f t="array" ref="F389">INDEX(Sheet1!$B$2:$F$22000,SMALL(IF(Sheet1!$A$2:$A$22000=$A$1,ROW(Sheet1!$B$2:$B$22000)),ROW($A387:$F387))-1,5)</f>
        <v>0</v>
      </c>
      <c r="M389" s="9">
        <v>387</v>
      </c>
      <c r="N389" s="10">
        <f t="shared" si="41"/>
        <v>0</v>
      </c>
      <c r="O389" s="11">
        <f t="shared" si="42"/>
        <v>0</v>
      </c>
      <c r="P389" s="12">
        <f t="shared" si="43"/>
        <v>0</v>
      </c>
      <c r="Q389" s="13">
        <f t="shared" si="44"/>
        <v>0</v>
      </c>
      <c r="V389" s="14">
        <f t="shared" si="39"/>
        <v>0.755859375</v>
      </c>
      <c r="W389" s="10">
        <f t="shared" si="45"/>
        <v>0</v>
      </c>
      <c r="X389" s="11">
        <f t="shared" si="45"/>
        <v>0</v>
      </c>
      <c r="Y389" s="12">
        <f t="shared" si="45"/>
        <v>0</v>
      </c>
      <c r="Z389" s="13">
        <f t="shared" si="40"/>
        <v>0</v>
      </c>
    </row>
    <row r="390" spans="2:26" x14ac:dyDescent="0.25">
      <c r="B390" s="4">
        <v>388</v>
      </c>
      <c r="C390" s="4">
        <f t="array" ref="C390">INDEX(Sheet1!$B$2:$F$22000,SMALL(IF(Sheet1!$A$2:$A$22000=$A$1,ROW(Sheet1!$B$2:$B$22000)),ROW($A388:$F388))-1,2)</f>
        <v>0</v>
      </c>
      <c r="D390" s="4">
        <f t="array" ref="D390">INDEX(Sheet1!$B$2:$F$22000,SMALL(IF(Sheet1!$A$2:$A$22000=$A$1,ROW(Sheet1!$B$2:$B$22000)),ROW($A388:$F388))-1,3)</f>
        <v>0</v>
      </c>
      <c r="E390" s="4">
        <f t="array" ref="E390">INDEX(Sheet1!$B$2:$F$22000,SMALL(IF(Sheet1!$A$2:$A$22000=$A$1,ROW(Sheet1!$B$2:$B$22000)),ROW($A388:$F388))-1,4)</f>
        <v>0</v>
      </c>
      <c r="F390" s="4">
        <f t="array" ref="F390">INDEX(Sheet1!$B$2:$F$22000,SMALL(IF(Sheet1!$A$2:$A$22000=$A$1,ROW(Sheet1!$B$2:$B$22000)),ROW($A388:$F388))-1,5)</f>
        <v>0</v>
      </c>
      <c r="M390" s="9">
        <v>388</v>
      </c>
      <c r="N390" s="10">
        <f t="shared" si="41"/>
        <v>0</v>
      </c>
      <c r="O390" s="11">
        <f t="shared" si="42"/>
        <v>0</v>
      </c>
      <c r="P390" s="12">
        <f t="shared" si="43"/>
        <v>0</v>
      </c>
      <c r="Q390" s="13">
        <f t="shared" si="44"/>
        <v>0</v>
      </c>
      <c r="V390" s="14">
        <f t="shared" si="39"/>
        <v>0.7578125</v>
      </c>
      <c r="W390" s="10">
        <f t="shared" si="45"/>
        <v>0</v>
      </c>
      <c r="X390" s="11">
        <f t="shared" si="45"/>
        <v>0</v>
      </c>
      <c r="Y390" s="12">
        <f t="shared" si="45"/>
        <v>0</v>
      </c>
      <c r="Z390" s="13">
        <f t="shared" si="40"/>
        <v>0</v>
      </c>
    </row>
    <row r="391" spans="2:26" x14ac:dyDescent="0.25">
      <c r="B391" s="4">
        <v>389</v>
      </c>
      <c r="C391" s="4">
        <f t="array" ref="C391">INDEX(Sheet1!$B$2:$F$22000,SMALL(IF(Sheet1!$A$2:$A$22000=$A$1,ROW(Sheet1!$B$2:$B$22000)),ROW($A389:$F389))-1,2)</f>
        <v>0</v>
      </c>
      <c r="D391" s="4">
        <f t="array" ref="D391">INDEX(Sheet1!$B$2:$F$22000,SMALL(IF(Sheet1!$A$2:$A$22000=$A$1,ROW(Sheet1!$B$2:$B$22000)),ROW($A389:$F389))-1,3)</f>
        <v>0</v>
      </c>
      <c r="E391" s="4">
        <f t="array" ref="E391">INDEX(Sheet1!$B$2:$F$22000,SMALL(IF(Sheet1!$A$2:$A$22000=$A$1,ROW(Sheet1!$B$2:$B$22000)),ROW($A389:$F389))-1,4)</f>
        <v>0</v>
      </c>
      <c r="F391" s="4">
        <f t="array" ref="F391">INDEX(Sheet1!$B$2:$F$22000,SMALL(IF(Sheet1!$A$2:$A$22000=$A$1,ROW(Sheet1!$B$2:$B$22000)),ROW($A389:$F389))-1,5)</f>
        <v>0</v>
      </c>
      <c r="M391" s="9">
        <v>389</v>
      </c>
      <c r="N391" s="10">
        <f t="shared" si="41"/>
        <v>0</v>
      </c>
      <c r="O391" s="11">
        <f t="shared" si="42"/>
        <v>0</v>
      </c>
      <c r="P391" s="12">
        <f t="shared" si="43"/>
        <v>0</v>
      </c>
      <c r="Q391" s="13">
        <f t="shared" si="44"/>
        <v>0</v>
      </c>
      <c r="V391" s="14">
        <f t="shared" si="39"/>
        <v>0.759765625</v>
      </c>
      <c r="W391" s="10">
        <f t="shared" si="45"/>
        <v>0</v>
      </c>
      <c r="X391" s="11">
        <f t="shared" si="45"/>
        <v>0</v>
      </c>
      <c r="Y391" s="12">
        <f t="shared" si="45"/>
        <v>0</v>
      </c>
      <c r="Z391" s="13">
        <f t="shared" si="40"/>
        <v>0</v>
      </c>
    </row>
    <row r="392" spans="2:26" x14ac:dyDescent="0.25">
      <c r="B392" s="4">
        <v>390</v>
      </c>
      <c r="C392" s="4">
        <f t="array" ref="C392">INDEX(Sheet1!$B$2:$F$22000,SMALL(IF(Sheet1!$A$2:$A$22000=$A$1,ROW(Sheet1!$B$2:$B$22000)),ROW($A390:$F390))-1,2)</f>
        <v>0</v>
      </c>
      <c r="D392" s="4">
        <f t="array" ref="D392">INDEX(Sheet1!$B$2:$F$22000,SMALL(IF(Sheet1!$A$2:$A$22000=$A$1,ROW(Sheet1!$B$2:$B$22000)),ROW($A390:$F390))-1,3)</f>
        <v>0</v>
      </c>
      <c r="E392" s="4">
        <f t="array" ref="E392">INDEX(Sheet1!$B$2:$F$22000,SMALL(IF(Sheet1!$A$2:$A$22000=$A$1,ROW(Sheet1!$B$2:$B$22000)),ROW($A390:$F390))-1,4)</f>
        <v>0</v>
      </c>
      <c r="F392" s="4">
        <f t="array" ref="F392">INDEX(Sheet1!$B$2:$F$22000,SMALL(IF(Sheet1!$A$2:$A$22000=$A$1,ROW(Sheet1!$B$2:$B$22000)),ROW($A390:$F390))-1,5)</f>
        <v>0</v>
      </c>
      <c r="M392" s="9">
        <v>390</v>
      </c>
      <c r="N392" s="10">
        <f t="shared" si="41"/>
        <v>0</v>
      </c>
      <c r="O392" s="11">
        <f t="shared" si="42"/>
        <v>0</v>
      </c>
      <c r="P392" s="12">
        <f t="shared" si="43"/>
        <v>0</v>
      </c>
      <c r="Q392" s="13">
        <f t="shared" si="44"/>
        <v>0</v>
      </c>
      <c r="V392" s="14">
        <f t="shared" si="39"/>
        <v>0.76171875</v>
      </c>
      <c r="W392" s="10">
        <f t="shared" si="45"/>
        <v>0</v>
      </c>
      <c r="X392" s="11">
        <f t="shared" si="45"/>
        <v>0</v>
      </c>
      <c r="Y392" s="12">
        <f t="shared" si="45"/>
        <v>0</v>
      </c>
      <c r="Z392" s="13">
        <f t="shared" si="40"/>
        <v>0</v>
      </c>
    </row>
    <row r="393" spans="2:26" x14ac:dyDescent="0.25">
      <c r="B393" s="4">
        <v>391</v>
      </c>
      <c r="C393" s="4">
        <f t="array" ref="C393">INDEX(Sheet1!$B$2:$F$22000,SMALL(IF(Sheet1!$A$2:$A$22000=$A$1,ROW(Sheet1!$B$2:$B$22000)),ROW($A391:$F391))-1,2)</f>
        <v>0</v>
      </c>
      <c r="D393" s="4">
        <f t="array" ref="D393">INDEX(Sheet1!$B$2:$F$22000,SMALL(IF(Sheet1!$A$2:$A$22000=$A$1,ROW(Sheet1!$B$2:$B$22000)),ROW($A391:$F391))-1,3)</f>
        <v>0</v>
      </c>
      <c r="E393" s="4">
        <f t="array" ref="E393">INDEX(Sheet1!$B$2:$F$22000,SMALL(IF(Sheet1!$A$2:$A$22000=$A$1,ROW(Sheet1!$B$2:$B$22000)),ROW($A391:$F391))-1,4)</f>
        <v>0</v>
      </c>
      <c r="F393" s="4">
        <f t="array" ref="F393">INDEX(Sheet1!$B$2:$F$22000,SMALL(IF(Sheet1!$A$2:$A$22000=$A$1,ROW(Sheet1!$B$2:$B$22000)),ROW($A391:$F391))-1,5)</f>
        <v>0</v>
      </c>
      <c r="M393" s="9">
        <v>391</v>
      </c>
      <c r="N393" s="10">
        <f t="shared" si="41"/>
        <v>0</v>
      </c>
      <c r="O393" s="11">
        <f t="shared" si="42"/>
        <v>0</v>
      </c>
      <c r="P393" s="12">
        <f t="shared" si="43"/>
        <v>0</v>
      </c>
      <c r="Q393" s="13">
        <f t="shared" si="44"/>
        <v>0</v>
      </c>
      <c r="V393" s="14">
        <f t="shared" si="39"/>
        <v>0.763671875</v>
      </c>
      <c r="W393" s="10">
        <f t="shared" si="45"/>
        <v>0</v>
      </c>
      <c r="X393" s="11">
        <f t="shared" si="45"/>
        <v>0</v>
      </c>
      <c r="Y393" s="12">
        <f t="shared" si="45"/>
        <v>0</v>
      </c>
      <c r="Z393" s="13">
        <f t="shared" si="40"/>
        <v>0</v>
      </c>
    </row>
    <row r="394" spans="2:26" x14ac:dyDescent="0.25">
      <c r="B394" s="4">
        <v>392</v>
      </c>
      <c r="C394" s="4">
        <f t="array" ref="C394">INDEX(Sheet1!$B$2:$F$22000,SMALL(IF(Sheet1!$A$2:$A$22000=$A$1,ROW(Sheet1!$B$2:$B$22000)),ROW($A392:$F392))-1,2)</f>
        <v>0</v>
      </c>
      <c r="D394" s="4">
        <f t="array" ref="D394">INDEX(Sheet1!$B$2:$F$22000,SMALL(IF(Sheet1!$A$2:$A$22000=$A$1,ROW(Sheet1!$B$2:$B$22000)),ROW($A392:$F392))-1,3)</f>
        <v>0</v>
      </c>
      <c r="E394" s="4">
        <f t="array" ref="E394">INDEX(Sheet1!$B$2:$F$22000,SMALL(IF(Sheet1!$A$2:$A$22000=$A$1,ROW(Sheet1!$B$2:$B$22000)),ROW($A392:$F392))-1,4)</f>
        <v>0</v>
      </c>
      <c r="F394" s="4">
        <f t="array" ref="F394">INDEX(Sheet1!$B$2:$F$22000,SMALL(IF(Sheet1!$A$2:$A$22000=$A$1,ROW(Sheet1!$B$2:$B$22000)),ROW($A392:$F392))-1,5)</f>
        <v>0</v>
      </c>
      <c r="M394" s="9">
        <v>392</v>
      </c>
      <c r="N394" s="10">
        <f t="shared" si="41"/>
        <v>0</v>
      </c>
      <c r="O394" s="11">
        <f t="shared" si="42"/>
        <v>0</v>
      </c>
      <c r="P394" s="12">
        <f t="shared" si="43"/>
        <v>0</v>
      </c>
      <c r="Q394" s="13">
        <f t="shared" si="44"/>
        <v>0</v>
      </c>
      <c r="V394" s="14">
        <f t="shared" si="39"/>
        <v>0.765625</v>
      </c>
      <c r="W394" s="10">
        <f t="shared" si="45"/>
        <v>0</v>
      </c>
      <c r="X394" s="11">
        <f t="shared" si="45"/>
        <v>0</v>
      </c>
      <c r="Y394" s="12">
        <f t="shared" si="45"/>
        <v>0</v>
      </c>
      <c r="Z394" s="13">
        <f t="shared" si="40"/>
        <v>0</v>
      </c>
    </row>
    <row r="395" spans="2:26" x14ac:dyDescent="0.25">
      <c r="B395" s="4">
        <v>393</v>
      </c>
      <c r="C395" s="4">
        <f t="array" ref="C395">INDEX(Sheet1!$B$2:$F$22000,SMALL(IF(Sheet1!$A$2:$A$22000=$A$1,ROW(Sheet1!$B$2:$B$22000)),ROW($A393:$F393))-1,2)</f>
        <v>0</v>
      </c>
      <c r="D395" s="4">
        <f t="array" ref="D395">INDEX(Sheet1!$B$2:$F$22000,SMALL(IF(Sheet1!$A$2:$A$22000=$A$1,ROW(Sheet1!$B$2:$B$22000)),ROW($A393:$F393))-1,3)</f>
        <v>0</v>
      </c>
      <c r="E395" s="4">
        <f t="array" ref="E395">INDEX(Sheet1!$B$2:$F$22000,SMALL(IF(Sheet1!$A$2:$A$22000=$A$1,ROW(Sheet1!$B$2:$B$22000)),ROW($A393:$F393))-1,4)</f>
        <v>0</v>
      </c>
      <c r="F395" s="4">
        <f t="array" ref="F395">INDEX(Sheet1!$B$2:$F$22000,SMALL(IF(Sheet1!$A$2:$A$22000=$A$1,ROW(Sheet1!$B$2:$B$22000)),ROW($A393:$F393))-1,5)</f>
        <v>0</v>
      </c>
      <c r="M395" s="9">
        <v>393</v>
      </c>
      <c r="N395" s="10">
        <f t="shared" si="41"/>
        <v>0</v>
      </c>
      <c r="O395" s="11">
        <f t="shared" si="42"/>
        <v>0</v>
      </c>
      <c r="P395" s="12">
        <f t="shared" si="43"/>
        <v>0</v>
      </c>
      <c r="Q395" s="13">
        <f t="shared" si="44"/>
        <v>0</v>
      </c>
      <c r="V395" s="14">
        <f t="shared" si="39"/>
        <v>0.767578125</v>
      </c>
      <c r="W395" s="10">
        <f t="shared" si="45"/>
        <v>0</v>
      </c>
      <c r="X395" s="11">
        <f t="shared" si="45"/>
        <v>0</v>
      </c>
      <c r="Y395" s="12">
        <f t="shared" si="45"/>
        <v>0</v>
      </c>
      <c r="Z395" s="13">
        <f t="shared" si="40"/>
        <v>0</v>
      </c>
    </row>
    <row r="396" spans="2:26" x14ac:dyDescent="0.25">
      <c r="B396" s="4">
        <v>394</v>
      </c>
      <c r="C396" s="4">
        <f t="array" ref="C396">INDEX(Sheet1!$B$2:$F$22000,SMALL(IF(Sheet1!$A$2:$A$22000=$A$1,ROW(Sheet1!$B$2:$B$22000)),ROW($A394:$F394))-1,2)</f>
        <v>0</v>
      </c>
      <c r="D396" s="4">
        <f t="array" ref="D396">INDEX(Sheet1!$B$2:$F$22000,SMALL(IF(Sheet1!$A$2:$A$22000=$A$1,ROW(Sheet1!$B$2:$B$22000)),ROW($A394:$F394))-1,3)</f>
        <v>0</v>
      </c>
      <c r="E396" s="4">
        <f t="array" ref="E396">INDEX(Sheet1!$B$2:$F$22000,SMALL(IF(Sheet1!$A$2:$A$22000=$A$1,ROW(Sheet1!$B$2:$B$22000)),ROW($A394:$F394))-1,4)</f>
        <v>0</v>
      </c>
      <c r="F396" s="4">
        <f t="array" ref="F396">INDEX(Sheet1!$B$2:$F$22000,SMALL(IF(Sheet1!$A$2:$A$22000=$A$1,ROW(Sheet1!$B$2:$B$22000)),ROW($A394:$F394))-1,5)</f>
        <v>0</v>
      </c>
      <c r="M396" s="9">
        <v>394</v>
      </c>
      <c r="N396" s="10">
        <f t="shared" si="41"/>
        <v>0</v>
      </c>
      <c r="O396" s="11">
        <f t="shared" si="42"/>
        <v>0</v>
      </c>
      <c r="P396" s="12">
        <f t="shared" si="43"/>
        <v>0</v>
      </c>
      <c r="Q396" s="13">
        <f t="shared" si="44"/>
        <v>0</v>
      </c>
      <c r="V396" s="14">
        <f t="shared" si="39"/>
        <v>0.76953125</v>
      </c>
      <c r="W396" s="10">
        <f t="shared" si="45"/>
        <v>0</v>
      </c>
      <c r="X396" s="11">
        <f t="shared" si="45"/>
        <v>0</v>
      </c>
      <c r="Y396" s="12">
        <f t="shared" si="45"/>
        <v>0</v>
      </c>
      <c r="Z396" s="13">
        <f t="shared" si="40"/>
        <v>0</v>
      </c>
    </row>
    <row r="397" spans="2:26" x14ac:dyDescent="0.25">
      <c r="B397" s="4">
        <v>395</v>
      </c>
      <c r="C397" s="4">
        <f t="array" ref="C397">INDEX(Sheet1!$B$2:$F$22000,SMALL(IF(Sheet1!$A$2:$A$22000=$A$1,ROW(Sheet1!$B$2:$B$22000)),ROW($A395:$F395))-1,2)</f>
        <v>0</v>
      </c>
      <c r="D397" s="4">
        <f t="array" ref="D397">INDEX(Sheet1!$B$2:$F$22000,SMALL(IF(Sheet1!$A$2:$A$22000=$A$1,ROW(Sheet1!$B$2:$B$22000)),ROW($A395:$F395))-1,3)</f>
        <v>0</v>
      </c>
      <c r="E397" s="4">
        <f t="array" ref="E397">INDEX(Sheet1!$B$2:$F$22000,SMALL(IF(Sheet1!$A$2:$A$22000=$A$1,ROW(Sheet1!$B$2:$B$22000)),ROW($A395:$F395))-1,4)</f>
        <v>0</v>
      </c>
      <c r="F397" s="4">
        <f t="array" ref="F397">INDEX(Sheet1!$B$2:$F$22000,SMALL(IF(Sheet1!$A$2:$A$22000=$A$1,ROW(Sheet1!$B$2:$B$22000)),ROW($A395:$F395))-1,5)</f>
        <v>0</v>
      </c>
      <c r="M397" s="9">
        <v>395</v>
      </c>
      <c r="N397" s="10">
        <f t="shared" si="41"/>
        <v>0</v>
      </c>
      <c r="O397" s="11">
        <f t="shared" si="42"/>
        <v>0</v>
      </c>
      <c r="P397" s="12">
        <f t="shared" si="43"/>
        <v>0</v>
      </c>
      <c r="Q397" s="13">
        <f t="shared" si="44"/>
        <v>0</v>
      </c>
      <c r="V397" s="14">
        <f t="shared" si="39"/>
        <v>0.771484375</v>
      </c>
      <c r="W397" s="10">
        <f t="shared" si="45"/>
        <v>0</v>
      </c>
      <c r="X397" s="11">
        <f t="shared" si="45"/>
        <v>0</v>
      </c>
      <c r="Y397" s="12">
        <f t="shared" si="45"/>
        <v>0</v>
      </c>
      <c r="Z397" s="13">
        <f t="shared" si="40"/>
        <v>0</v>
      </c>
    </row>
    <row r="398" spans="2:26" x14ac:dyDescent="0.25">
      <c r="B398" s="4">
        <v>396</v>
      </c>
      <c r="C398" s="4">
        <f t="array" ref="C398">INDEX(Sheet1!$B$2:$F$22000,SMALL(IF(Sheet1!$A$2:$A$22000=$A$1,ROW(Sheet1!$B$2:$B$22000)),ROW($A396:$F396))-1,2)</f>
        <v>0</v>
      </c>
      <c r="D398" s="4">
        <f t="array" ref="D398">INDEX(Sheet1!$B$2:$F$22000,SMALL(IF(Sheet1!$A$2:$A$22000=$A$1,ROW(Sheet1!$B$2:$B$22000)),ROW($A396:$F396))-1,3)</f>
        <v>0</v>
      </c>
      <c r="E398" s="4">
        <f t="array" ref="E398">INDEX(Sheet1!$B$2:$F$22000,SMALL(IF(Sheet1!$A$2:$A$22000=$A$1,ROW(Sheet1!$B$2:$B$22000)),ROW($A396:$F396))-1,4)</f>
        <v>0</v>
      </c>
      <c r="F398" s="4">
        <f t="array" ref="F398">INDEX(Sheet1!$B$2:$F$22000,SMALL(IF(Sheet1!$A$2:$A$22000=$A$1,ROW(Sheet1!$B$2:$B$22000)),ROW($A396:$F396))-1,5)</f>
        <v>0</v>
      </c>
      <c r="M398" s="9">
        <v>396</v>
      </c>
      <c r="N398" s="10">
        <f t="shared" si="41"/>
        <v>0</v>
      </c>
      <c r="O398" s="11">
        <f t="shared" si="42"/>
        <v>0</v>
      </c>
      <c r="P398" s="12">
        <f t="shared" si="43"/>
        <v>0</v>
      </c>
      <c r="Q398" s="13">
        <f t="shared" si="44"/>
        <v>0</v>
      </c>
      <c r="V398" s="14">
        <f t="shared" si="39"/>
        <v>0.7734375</v>
      </c>
      <c r="W398" s="10">
        <f t="shared" si="45"/>
        <v>0</v>
      </c>
      <c r="X398" s="11">
        <f t="shared" si="45"/>
        <v>0</v>
      </c>
      <c r="Y398" s="12">
        <f t="shared" si="45"/>
        <v>0</v>
      </c>
      <c r="Z398" s="13">
        <f t="shared" si="40"/>
        <v>0</v>
      </c>
    </row>
    <row r="399" spans="2:26" x14ac:dyDescent="0.25">
      <c r="B399" s="4">
        <v>397</v>
      </c>
      <c r="C399" s="4">
        <f t="array" ref="C399">INDEX(Sheet1!$B$2:$F$22000,SMALL(IF(Sheet1!$A$2:$A$22000=$A$1,ROW(Sheet1!$B$2:$B$22000)),ROW($A397:$F397))-1,2)</f>
        <v>0</v>
      </c>
      <c r="D399" s="4">
        <f t="array" ref="D399">INDEX(Sheet1!$B$2:$F$22000,SMALL(IF(Sheet1!$A$2:$A$22000=$A$1,ROW(Sheet1!$B$2:$B$22000)),ROW($A397:$F397))-1,3)</f>
        <v>0</v>
      </c>
      <c r="E399" s="4">
        <f t="array" ref="E399">INDEX(Sheet1!$B$2:$F$22000,SMALL(IF(Sheet1!$A$2:$A$22000=$A$1,ROW(Sheet1!$B$2:$B$22000)),ROW($A397:$F397))-1,4)</f>
        <v>0</v>
      </c>
      <c r="F399" s="4">
        <f t="array" ref="F399">INDEX(Sheet1!$B$2:$F$22000,SMALL(IF(Sheet1!$A$2:$A$22000=$A$1,ROW(Sheet1!$B$2:$B$22000)),ROW($A397:$F397))-1,5)</f>
        <v>0</v>
      </c>
      <c r="M399" s="9">
        <v>397</v>
      </c>
      <c r="N399" s="10">
        <f t="shared" si="41"/>
        <v>0</v>
      </c>
      <c r="O399" s="11">
        <f t="shared" si="42"/>
        <v>0</v>
      </c>
      <c r="P399" s="12">
        <f t="shared" si="43"/>
        <v>0</v>
      </c>
      <c r="Q399" s="13">
        <f t="shared" si="44"/>
        <v>0</v>
      </c>
      <c r="V399" s="14">
        <f t="shared" si="39"/>
        <v>0.775390625</v>
      </c>
      <c r="W399" s="10">
        <f t="shared" si="45"/>
        <v>0</v>
      </c>
      <c r="X399" s="11">
        <f t="shared" si="45"/>
        <v>0</v>
      </c>
      <c r="Y399" s="12">
        <f t="shared" si="45"/>
        <v>0</v>
      </c>
      <c r="Z399" s="13">
        <f t="shared" si="40"/>
        <v>0</v>
      </c>
    </row>
    <row r="400" spans="2:26" x14ac:dyDescent="0.25">
      <c r="B400" s="4">
        <v>398</v>
      </c>
      <c r="C400" s="4">
        <f t="array" ref="C400">INDEX(Sheet1!$B$2:$F$22000,SMALL(IF(Sheet1!$A$2:$A$22000=$A$1,ROW(Sheet1!$B$2:$B$22000)),ROW($A398:$F398))-1,2)</f>
        <v>0</v>
      </c>
      <c r="D400" s="4">
        <f t="array" ref="D400">INDEX(Sheet1!$B$2:$F$22000,SMALL(IF(Sheet1!$A$2:$A$22000=$A$1,ROW(Sheet1!$B$2:$B$22000)),ROW($A398:$F398))-1,3)</f>
        <v>0</v>
      </c>
      <c r="E400" s="4">
        <f t="array" ref="E400">INDEX(Sheet1!$B$2:$F$22000,SMALL(IF(Sheet1!$A$2:$A$22000=$A$1,ROW(Sheet1!$B$2:$B$22000)),ROW($A398:$F398))-1,4)</f>
        <v>0</v>
      </c>
      <c r="F400" s="4">
        <f t="array" ref="F400">INDEX(Sheet1!$B$2:$F$22000,SMALL(IF(Sheet1!$A$2:$A$22000=$A$1,ROW(Sheet1!$B$2:$B$22000)),ROW($A398:$F398))-1,5)</f>
        <v>0</v>
      </c>
      <c r="M400" s="9">
        <v>398</v>
      </c>
      <c r="N400" s="10">
        <f t="shared" si="41"/>
        <v>0</v>
      </c>
      <c r="O400" s="11">
        <f t="shared" si="42"/>
        <v>0</v>
      </c>
      <c r="P400" s="12">
        <f t="shared" si="43"/>
        <v>0</v>
      </c>
      <c r="Q400" s="13">
        <f t="shared" si="44"/>
        <v>0</v>
      </c>
      <c r="V400" s="14">
        <f t="shared" si="39"/>
        <v>0.77734375</v>
      </c>
      <c r="W400" s="10">
        <f t="shared" si="45"/>
        <v>0</v>
      </c>
      <c r="X400" s="11">
        <f t="shared" si="45"/>
        <v>0</v>
      </c>
      <c r="Y400" s="12">
        <f t="shared" si="45"/>
        <v>0</v>
      </c>
      <c r="Z400" s="13">
        <f t="shared" si="40"/>
        <v>0</v>
      </c>
    </row>
    <row r="401" spans="2:26" x14ac:dyDescent="0.25">
      <c r="B401" s="4">
        <v>399</v>
      </c>
      <c r="C401" s="4">
        <f t="array" ref="C401">INDEX(Sheet1!$B$2:$F$22000,SMALL(IF(Sheet1!$A$2:$A$22000=$A$1,ROW(Sheet1!$B$2:$B$22000)),ROW($A399:$F399))-1,2)</f>
        <v>0</v>
      </c>
      <c r="D401" s="4">
        <f t="array" ref="D401">INDEX(Sheet1!$B$2:$F$22000,SMALL(IF(Sheet1!$A$2:$A$22000=$A$1,ROW(Sheet1!$B$2:$B$22000)),ROW($A399:$F399))-1,3)</f>
        <v>0</v>
      </c>
      <c r="E401" s="4">
        <f t="array" ref="E401">INDEX(Sheet1!$B$2:$F$22000,SMALL(IF(Sheet1!$A$2:$A$22000=$A$1,ROW(Sheet1!$B$2:$B$22000)),ROW($A399:$F399))-1,4)</f>
        <v>0</v>
      </c>
      <c r="F401" s="4">
        <f t="array" ref="F401">INDEX(Sheet1!$B$2:$F$22000,SMALL(IF(Sheet1!$A$2:$A$22000=$A$1,ROW(Sheet1!$B$2:$B$22000)),ROW($A399:$F399))-1,5)</f>
        <v>0</v>
      </c>
      <c r="M401" s="9">
        <v>399</v>
      </c>
      <c r="N401" s="10">
        <f t="shared" si="41"/>
        <v>0</v>
      </c>
      <c r="O401" s="11">
        <f t="shared" si="42"/>
        <v>0</v>
      </c>
      <c r="P401" s="12">
        <f t="shared" si="43"/>
        <v>0</v>
      </c>
      <c r="Q401" s="13">
        <f t="shared" si="44"/>
        <v>0</v>
      </c>
      <c r="V401" s="14">
        <f t="shared" si="39"/>
        <v>0.779296875</v>
      </c>
      <c r="W401" s="10">
        <f t="shared" si="45"/>
        <v>0</v>
      </c>
      <c r="X401" s="11">
        <f t="shared" si="45"/>
        <v>0</v>
      </c>
      <c r="Y401" s="12">
        <f t="shared" si="45"/>
        <v>0</v>
      </c>
      <c r="Z401" s="13">
        <f t="shared" si="40"/>
        <v>0</v>
      </c>
    </row>
    <row r="402" spans="2:26" x14ac:dyDescent="0.25">
      <c r="B402" s="4">
        <v>400</v>
      </c>
      <c r="C402" s="4">
        <f t="array" ref="C402">INDEX(Sheet1!$B$2:$F$22000,SMALL(IF(Sheet1!$A$2:$A$22000=$A$1,ROW(Sheet1!$B$2:$B$22000)),ROW($A400:$F400))-1,2)</f>
        <v>0</v>
      </c>
      <c r="D402" s="4">
        <f t="array" ref="D402">INDEX(Sheet1!$B$2:$F$22000,SMALL(IF(Sheet1!$A$2:$A$22000=$A$1,ROW(Sheet1!$B$2:$B$22000)),ROW($A400:$F400))-1,3)</f>
        <v>0</v>
      </c>
      <c r="E402" s="4">
        <f t="array" ref="E402">INDEX(Sheet1!$B$2:$F$22000,SMALL(IF(Sheet1!$A$2:$A$22000=$A$1,ROW(Sheet1!$B$2:$B$22000)),ROW($A400:$F400))-1,4)</f>
        <v>0</v>
      </c>
      <c r="F402" s="4">
        <f t="array" ref="F402">INDEX(Sheet1!$B$2:$F$22000,SMALL(IF(Sheet1!$A$2:$A$22000=$A$1,ROW(Sheet1!$B$2:$B$22000)),ROW($A400:$F400))-1,5)</f>
        <v>0</v>
      </c>
      <c r="M402" s="9">
        <v>400</v>
      </c>
      <c r="N402" s="10">
        <f t="shared" si="41"/>
        <v>0</v>
      </c>
      <c r="O402" s="11">
        <f t="shared" si="42"/>
        <v>0</v>
      </c>
      <c r="P402" s="12">
        <f t="shared" si="43"/>
        <v>0</v>
      </c>
      <c r="Q402" s="13">
        <f t="shared" si="44"/>
        <v>0</v>
      </c>
      <c r="V402" s="14">
        <f t="shared" si="39"/>
        <v>0.78125</v>
      </c>
      <c r="W402" s="10">
        <f t="shared" si="45"/>
        <v>0</v>
      </c>
      <c r="X402" s="11">
        <f t="shared" si="45"/>
        <v>0</v>
      </c>
      <c r="Y402" s="12">
        <f t="shared" si="45"/>
        <v>0</v>
      </c>
      <c r="Z402" s="13">
        <f t="shared" si="40"/>
        <v>0</v>
      </c>
    </row>
    <row r="403" spans="2:26" x14ac:dyDescent="0.25">
      <c r="B403" s="4">
        <v>401</v>
      </c>
      <c r="C403" s="4">
        <f t="array" ref="C403">INDEX(Sheet1!$B$2:$F$22000,SMALL(IF(Sheet1!$A$2:$A$22000=$A$1,ROW(Sheet1!$B$2:$B$22000)),ROW($A401:$F401))-1,2)</f>
        <v>0</v>
      </c>
      <c r="D403" s="4">
        <f t="array" ref="D403">INDEX(Sheet1!$B$2:$F$22000,SMALL(IF(Sheet1!$A$2:$A$22000=$A$1,ROW(Sheet1!$B$2:$B$22000)),ROW($A401:$F401))-1,3)</f>
        <v>0</v>
      </c>
      <c r="E403" s="4">
        <f t="array" ref="E403">INDEX(Sheet1!$B$2:$F$22000,SMALL(IF(Sheet1!$A$2:$A$22000=$A$1,ROW(Sheet1!$B$2:$B$22000)),ROW($A401:$F401))-1,4)</f>
        <v>0</v>
      </c>
      <c r="F403" s="4">
        <f t="array" ref="F403">INDEX(Sheet1!$B$2:$F$22000,SMALL(IF(Sheet1!$A$2:$A$22000=$A$1,ROW(Sheet1!$B$2:$B$22000)),ROW($A401:$F401))-1,5)</f>
        <v>0</v>
      </c>
      <c r="M403" s="9">
        <v>401</v>
      </c>
      <c r="N403" s="10">
        <f t="shared" si="41"/>
        <v>0</v>
      </c>
      <c r="O403" s="11">
        <f t="shared" si="42"/>
        <v>0</v>
      </c>
      <c r="P403" s="12">
        <f t="shared" si="43"/>
        <v>0</v>
      </c>
      <c r="Q403" s="13">
        <f t="shared" si="44"/>
        <v>0</v>
      </c>
      <c r="V403" s="14">
        <f t="shared" si="39"/>
        <v>0.783203125</v>
      </c>
      <c r="W403" s="10">
        <f t="shared" si="45"/>
        <v>0</v>
      </c>
      <c r="X403" s="11">
        <f t="shared" si="45"/>
        <v>0</v>
      </c>
      <c r="Y403" s="12">
        <f t="shared" si="45"/>
        <v>0</v>
      </c>
      <c r="Z403" s="13">
        <f t="shared" si="40"/>
        <v>0</v>
      </c>
    </row>
    <row r="404" spans="2:26" x14ac:dyDescent="0.25">
      <c r="B404" s="4">
        <v>402</v>
      </c>
      <c r="C404" s="4">
        <f t="array" ref="C404">INDEX(Sheet1!$B$2:$F$22000,SMALL(IF(Sheet1!$A$2:$A$22000=$A$1,ROW(Sheet1!$B$2:$B$22000)),ROW($A402:$F402))-1,2)</f>
        <v>0</v>
      </c>
      <c r="D404" s="4">
        <f t="array" ref="D404">INDEX(Sheet1!$B$2:$F$22000,SMALL(IF(Sheet1!$A$2:$A$22000=$A$1,ROW(Sheet1!$B$2:$B$22000)),ROW($A402:$F402))-1,3)</f>
        <v>0</v>
      </c>
      <c r="E404" s="4">
        <f t="array" ref="E404">INDEX(Sheet1!$B$2:$F$22000,SMALL(IF(Sheet1!$A$2:$A$22000=$A$1,ROW(Sheet1!$B$2:$B$22000)),ROW($A402:$F402))-1,4)</f>
        <v>0</v>
      </c>
      <c r="F404" s="4">
        <f t="array" ref="F404">INDEX(Sheet1!$B$2:$F$22000,SMALL(IF(Sheet1!$A$2:$A$22000=$A$1,ROW(Sheet1!$B$2:$B$22000)),ROW($A402:$F402))-1,5)</f>
        <v>0</v>
      </c>
      <c r="M404" s="9">
        <v>402</v>
      </c>
      <c r="N404" s="10">
        <f t="shared" si="41"/>
        <v>0</v>
      </c>
      <c r="O404" s="11">
        <f t="shared" si="42"/>
        <v>0</v>
      </c>
      <c r="P404" s="12">
        <f t="shared" si="43"/>
        <v>0</v>
      </c>
      <c r="Q404" s="13">
        <f t="shared" si="44"/>
        <v>0</v>
      </c>
      <c r="V404" s="14">
        <f t="shared" si="39"/>
        <v>0.78515625</v>
      </c>
      <c r="W404" s="10">
        <f t="shared" si="45"/>
        <v>0</v>
      </c>
      <c r="X404" s="11">
        <f t="shared" si="45"/>
        <v>0</v>
      </c>
      <c r="Y404" s="12">
        <f t="shared" si="45"/>
        <v>0</v>
      </c>
      <c r="Z404" s="13">
        <f t="shared" si="40"/>
        <v>0</v>
      </c>
    </row>
    <row r="405" spans="2:26" x14ac:dyDescent="0.25">
      <c r="B405" s="4">
        <v>403</v>
      </c>
      <c r="C405" s="4">
        <f t="array" ref="C405">INDEX(Sheet1!$B$2:$F$22000,SMALL(IF(Sheet1!$A$2:$A$22000=$A$1,ROW(Sheet1!$B$2:$B$22000)),ROW($A403:$F403))-1,2)</f>
        <v>0</v>
      </c>
      <c r="D405" s="4">
        <f t="array" ref="D405">INDEX(Sheet1!$B$2:$F$22000,SMALL(IF(Sheet1!$A$2:$A$22000=$A$1,ROW(Sheet1!$B$2:$B$22000)),ROW($A403:$F403))-1,3)</f>
        <v>0</v>
      </c>
      <c r="E405" s="4">
        <f t="array" ref="E405">INDEX(Sheet1!$B$2:$F$22000,SMALL(IF(Sheet1!$A$2:$A$22000=$A$1,ROW(Sheet1!$B$2:$B$22000)),ROW($A403:$F403))-1,4)</f>
        <v>0</v>
      </c>
      <c r="F405" s="4">
        <f t="array" ref="F405">INDEX(Sheet1!$B$2:$F$22000,SMALL(IF(Sheet1!$A$2:$A$22000=$A$1,ROW(Sheet1!$B$2:$B$22000)),ROW($A403:$F403))-1,5)</f>
        <v>0</v>
      </c>
      <c r="M405" s="9">
        <v>403</v>
      </c>
      <c r="N405" s="10">
        <f t="shared" si="41"/>
        <v>0</v>
      </c>
      <c r="O405" s="11">
        <f t="shared" si="42"/>
        <v>0</v>
      </c>
      <c r="P405" s="12">
        <f t="shared" si="43"/>
        <v>0</v>
      </c>
      <c r="Q405" s="13">
        <f t="shared" si="44"/>
        <v>0</v>
      </c>
      <c r="V405" s="14">
        <f t="shared" si="39"/>
        <v>0.787109375</v>
      </c>
      <c r="W405" s="10">
        <f t="shared" si="45"/>
        <v>0</v>
      </c>
      <c r="X405" s="11">
        <f t="shared" si="45"/>
        <v>0</v>
      </c>
      <c r="Y405" s="12">
        <f t="shared" si="45"/>
        <v>0</v>
      </c>
      <c r="Z405" s="13">
        <f t="shared" si="40"/>
        <v>0</v>
      </c>
    </row>
    <row r="406" spans="2:26" x14ac:dyDescent="0.25">
      <c r="B406" s="4">
        <v>404</v>
      </c>
      <c r="C406" s="4">
        <f t="array" ref="C406">INDEX(Sheet1!$B$2:$F$22000,SMALL(IF(Sheet1!$A$2:$A$22000=$A$1,ROW(Sheet1!$B$2:$B$22000)),ROW($A404:$F404))-1,2)</f>
        <v>0</v>
      </c>
      <c r="D406" s="4">
        <f t="array" ref="D406">INDEX(Sheet1!$B$2:$F$22000,SMALL(IF(Sheet1!$A$2:$A$22000=$A$1,ROW(Sheet1!$B$2:$B$22000)),ROW($A404:$F404))-1,3)</f>
        <v>0</v>
      </c>
      <c r="E406" s="4">
        <f t="array" ref="E406">INDEX(Sheet1!$B$2:$F$22000,SMALL(IF(Sheet1!$A$2:$A$22000=$A$1,ROW(Sheet1!$B$2:$B$22000)),ROW($A404:$F404))-1,4)</f>
        <v>0</v>
      </c>
      <c r="F406" s="4">
        <f t="array" ref="F406">INDEX(Sheet1!$B$2:$F$22000,SMALL(IF(Sheet1!$A$2:$A$22000=$A$1,ROW(Sheet1!$B$2:$B$22000)),ROW($A404:$F404))-1,5)</f>
        <v>0</v>
      </c>
      <c r="M406" s="9">
        <v>404</v>
      </c>
      <c r="N406" s="10">
        <f t="shared" si="41"/>
        <v>0</v>
      </c>
      <c r="O406" s="11">
        <f t="shared" si="42"/>
        <v>0</v>
      </c>
      <c r="P406" s="12">
        <f t="shared" si="43"/>
        <v>0</v>
      </c>
      <c r="Q406" s="13">
        <f t="shared" si="44"/>
        <v>0</v>
      </c>
      <c r="V406" s="14">
        <f t="shared" si="39"/>
        <v>0.7890625</v>
      </c>
      <c r="W406" s="10">
        <f t="shared" si="45"/>
        <v>0</v>
      </c>
      <c r="X406" s="11">
        <f t="shared" si="45"/>
        <v>0</v>
      </c>
      <c r="Y406" s="12">
        <f t="shared" si="45"/>
        <v>0</v>
      </c>
      <c r="Z406" s="13">
        <f t="shared" si="40"/>
        <v>0</v>
      </c>
    </row>
    <row r="407" spans="2:26" x14ac:dyDescent="0.25">
      <c r="B407" s="4">
        <v>405</v>
      </c>
      <c r="C407" s="4">
        <f t="array" ref="C407">INDEX(Sheet1!$B$2:$F$22000,SMALL(IF(Sheet1!$A$2:$A$22000=$A$1,ROW(Sheet1!$B$2:$B$22000)),ROW($A405:$F405))-1,2)</f>
        <v>0</v>
      </c>
      <c r="D407" s="4">
        <f t="array" ref="D407">INDEX(Sheet1!$B$2:$F$22000,SMALL(IF(Sheet1!$A$2:$A$22000=$A$1,ROW(Sheet1!$B$2:$B$22000)),ROW($A405:$F405))-1,3)</f>
        <v>0</v>
      </c>
      <c r="E407" s="4">
        <f t="array" ref="E407">INDEX(Sheet1!$B$2:$F$22000,SMALL(IF(Sheet1!$A$2:$A$22000=$A$1,ROW(Sheet1!$B$2:$B$22000)),ROW($A405:$F405))-1,4)</f>
        <v>0</v>
      </c>
      <c r="F407" s="4">
        <f t="array" ref="F407">INDEX(Sheet1!$B$2:$F$22000,SMALL(IF(Sheet1!$A$2:$A$22000=$A$1,ROW(Sheet1!$B$2:$B$22000)),ROW($A405:$F405))-1,5)</f>
        <v>0</v>
      </c>
      <c r="M407" s="9">
        <v>405</v>
      </c>
      <c r="N407" s="10">
        <f t="shared" si="41"/>
        <v>0</v>
      </c>
      <c r="O407" s="11">
        <f t="shared" si="42"/>
        <v>0</v>
      </c>
      <c r="P407" s="12">
        <f t="shared" si="43"/>
        <v>0</v>
      </c>
      <c r="Q407" s="13">
        <f t="shared" si="44"/>
        <v>0</v>
      </c>
      <c r="V407" s="14">
        <f t="shared" si="39"/>
        <v>0.791015625</v>
      </c>
      <c r="W407" s="10">
        <f t="shared" si="45"/>
        <v>0</v>
      </c>
      <c r="X407" s="11">
        <f t="shared" si="45"/>
        <v>0</v>
      </c>
      <c r="Y407" s="12">
        <f t="shared" si="45"/>
        <v>0</v>
      </c>
      <c r="Z407" s="13">
        <f t="shared" si="40"/>
        <v>0</v>
      </c>
    </row>
    <row r="408" spans="2:26" x14ac:dyDescent="0.25">
      <c r="B408" s="4">
        <v>406</v>
      </c>
      <c r="C408" s="4">
        <f t="array" ref="C408">INDEX(Sheet1!$B$2:$F$22000,SMALL(IF(Sheet1!$A$2:$A$22000=$A$1,ROW(Sheet1!$B$2:$B$22000)),ROW($A406:$F406))-1,2)</f>
        <v>0</v>
      </c>
      <c r="D408" s="4">
        <f t="array" ref="D408">INDEX(Sheet1!$B$2:$F$22000,SMALL(IF(Sheet1!$A$2:$A$22000=$A$1,ROW(Sheet1!$B$2:$B$22000)),ROW($A406:$F406))-1,3)</f>
        <v>0</v>
      </c>
      <c r="E408" s="4">
        <f t="array" ref="E408">INDEX(Sheet1!$B$2:$F$22000,SMALL(IF(Sheet1!$A$2:$A$22000=$A$1,ROW(Sheet1!$B$2:$B$22000)),ROW($A406:$F406))-1,4)</f>
        <v>0</v>
      </c>
      <c r="F408" s="4">
        <f t="array" ref="F408">INDEX(Sheet1!$B$2:$F$22000,SMALL(IF(Sheet1!$A$2:$A$22000=$A$1,ROW(Sheet1!$B$2:$B$22000)),ROW($A406:$F406))-1,5)</f>
        <v>0</v>
      </c>
      <c r="M408" s="9">
        <v>406</v>
      </c>
      <c r="N408" s="10">
        <f t="shared" si="41"/>
        <v>0</v>
      </c>
      <c r="O408" s="11">
        <f t="shared" si="42"/>
        <v>0</v>
      </c>
      <c r="P408" s="12">
        <f t="shared" si="43"/>
        <v>0</v>
      </c>
      <c r="Q408" s="13">
        <f t="shared" si="44"/>
        <v>0</v>
      </c>
      <c r="V408" s="14">
        <f t="shared" si="39"/>
        <v>0.79296875</v>
      </c>
      <c r="W408" s="10">
        <f t="shared" si="45"/>
        <v>0</v>
      </c>
      <c r="X408" s="11">
        <f t="shared" si="45"/>
        <v>0</v>
      </c>
      <c r="Y408" s="12">
        <f t="shared" si="45"/>
        <v>0</v>
      </c>
      <c r="Z408" s="13">
        <f t="shared" si="40"/>
        <v>0</v>
      </c>
    </row>
    <row r="409" spans="2:26" x14ac:dyDescent="0.25">
      <c r="B409" s="4">
        <v>407</v>
      </c>
      <c r="C409" s="4">
        <f t="array" ref="C409">INDEX(Sheet1!$B$2:$F$22000,SMALL(IF(Sheet1!$A$2:$A$22000=$A$1,ROW(Sheet1!$B$2:$B$22000)),ROW($A407:$F407))-1,2)</f>
        <v>0</v>
      </c>
      <c r="D409" s="4">
        <f t="array" ref="D409">INDEX(Sheet1!$B$2:$F$22000,SMALL(IF(Sheet1!$A$2:$A$22000=$A$1,ROW(Sheet1!$B$2:$B$22000)),ROW($A407:$F407))-1,3)</f>
        <v>0</v>
      </c>
      <c r="E409" s="4">
        <f t="array" ref="E409">INDEX(Sheet1!$B$2:$F$22000,SMALL(IF(Sheet1!$A$2:$A$22000=$A$1,ROW(Sheet1!$B$2:$B$22000)),ROW($A407:$F407))-1,4)</f>
        <v>0</v>
      </c>
      <c r="F409" s="4">
        <f t="array" ref="F409">INDEX(Sheet1!$B$2:$F$22000,SMALL(IF(Sheet1!$A$2:$A$22000=$A$1,ROW(Sheet1!$B$2:$B$22000)),ROW($A407:$F407))-1,5)</f>
        <v>0</v>
      </c>
      <c r="M409" s="9">
        <v>407</v>
      </c>
      <c r="N409" s="10">
        <f t="shared" si="41"/>
        <v>0</v>
      </c>
      <c r="O409" s="11">
        <f t="shared" si="42"/>
        <v>0</v>
      </c>
      <c r="P409" s="12">
        <f t="shared" si="43"/>
        <v>0</v>
      </c>
      <c r="Q409" s="13">
        <f t="shared" si="44"/>
        <v>0</v>
      </c>
      <c r="V409" s="14">
        <f t="shared" si="39"/>
        <v>0.794921875</v>
      </c>
      <c r="W409" s="10">
        <f t="shared" si="45"/>
        <v>0</v>
      </c>
      <c r="X409" s="11">
        <f t="shared" si="45"/>
        <v>0</v>
      </c>
      <c r="Y409" s="12">
        <f t="shared" si="45"/>
        <v>0</v>
      </c>
      <c r="Z409" s="13">
        <f t="shared" si="40"/>
        <v>0</v>
      </c>
    </row>
    <row r="410" spans="2:26" x14ac:dyDescent="0.25">
      <c r="B410" s="4">
        <v>408</v>
      </c>
      <c r="C410" s="4">
        <f t="array" ref="C410">INDEX(Sheet1!$B$2:$F$22000,SMALL(IF(Sheet1!$A$2:$A$22000=$A$1,ROW(Sheet1!$B$2:$B$22000)),ROW($A408:$F408))-1,2)</f>
        <v>0</v>
      </c>
      <c r="D410" s="4">
        <f t="array" ref="D410">INDEX(Sheet1!$B$2:$F$22000,SMALL(IF(Sheet1!$A$2:$A$22000=$A$1,ROW(Sheet1!$B$2:$B$22000)),ROW($A408:$F408))-1,3)</f>
        <v>0</v>
      </c>
      <c r="E410" s="4">
        <f t="array" ref="E410">INDEX(Sheet1!$B$2:$F$22000,SMALL(IF(Sheet1!$A$2:$A$22000=$A$1,ROW(Sheet1!$B$2:$B$22000)),ROW($A408:$F408))-1,4)</f>
        <v>0</v>
      </c>
      <c r="F410" s="4">
        <f t="array" ref="F410">INDEX(Sheet1!$B$2:$F$22000,SMALL(IF(Sheet1!$A$2:$A$22000=$A$1,ROW(Sheet1!$B$2:$B$22000)),ROW($A408:$F408))-1,5)</f>
        <v>0</v>
      </c>
      <c r="M410" s="9">
        <v>408</v>
      </c>
      <c r="N410" s="10">
        <f t="shared" si="41"/>
        <v>0</v>
      </c>
      <c r="O410" s="11">
        <f t="shared" si="42"/>
        <v>0</v>
      </c>
      <c r="P410" s="12">
        <f t="shared" si="43"/>
        <v>0</v>
      </c>
      <c r="Q410" s="13">
        <f t="shared" si="44"/>
        <v>0</v>
      </c>
      <c r="V410" s="14">
        <f t="shared" si="39"/>
        <v>0.796875</v>
      </c>
      <c r="W410" s="10">
        <f t="shared" si="45"/>
        <v>0</v>
      </c>
      <c r="X410" s="11">
        <f t="shared" si="45"/>
        <v>0</v>
      </c>
      <c r="Y410" s="12">
        <f t="shared" si="45"/>
        <v>0</v>
      </c>
      <c r="Z410" s="13">
        <f t="shared" si="40"/>
        <v>0</v>
      </c>
    </row>
    <row r="411" spans="2:26" x14ac:dyDescent="0.25">
      <c r="B411" s="4">
        <v>409</v>
      </c>
      <c r="C411" s="4">
        <f t="array" ref="C411">INDEX(Sheet1!$B$2:$F$22000,SMALL(IF(Sheet1!$A$2:$A$22000=$A$1,ROW(Sheet1!$B$2:$B$22000)),ROW($A409:$F409))-1,2)</f>
        <v>0</v>
      </c>
      <c r="D411" s="4">
        <f t="array" ref="D411">INDEX(Sheet1!$B$2:$F$22000,SMALL(IF(Sheet1!$A$2:$A$22000=$A$1,ROW(Sheet1!$B$2:$B$22000)),ROW($A409:$F409))-1,3)</f>
        <v>0</v>
      </c>
      <c r="E411" s="4">
        <f t="array" ref="E411">INDEX(Sheet1!$B$2:$F$22000,SMALL(IF(Sheet1!$A$2:$A$22000=$A$1,ROW(Sheet1!$B$2:$B$22000)),ROW($A409:$F409))-1,4)</f>
        <v>0</v>
      </c>
      <c r="F411" s="4">
        <f t="array" ref="F411">INDEX(Sheet1!$B$2:$F$22000,SMALL(IF(Sheet1!$A$2:$A$22000=$A$1,ROW(Sheet1!$B$2:$B$22000)),ROW($A409:$F409))-1,5)</f>
        <v>0</v>
      </c>
      <c r="M411" s="9">
        <v>409</v>
      </c>
      <c r="N411" s="10">
        <f t="shared" si="41"/>
        <v>0</v>
      </c>
      <c r="O411" s="11">
        <f t="shared" si="42"/>
        <v>0</v>
      </c>
      <c r="P411" s="12">
        <f t="shared" si="43"/>
        <v>0</v>
      </c>
      <c r="Q411" s="13">
        <f t="shared" si="44"/>
        <v>0</v>
      </c>
      <c r="V411" s="14">
        <f t="shared" si="39"/>
        <v>0.798828125</v>
      </c>
      <c r="W411" s="10">
        <f t="shared" si="45"/>
        <v>0</v>
      </c>
      <c r="X411" s="11">
        <f t="shared" si="45"/>
        <v>0</v>
      </c>
      <c r="Y411" s="12">
        <f t="shared" si="45"/>
        <v>0</v>
      </c>
      <c r="Z411" s="13">
        <f t="shared" si="40"/>
        <v>0</v>
      </c>
    </row>
    <row r="412" spans="2:26" x14ac:dyDescent="0.25">
      <c r="B412" s="4">
        <v>410</v>
      </c>
      <c r="C412" s="4">
        <f t="array" ref="C412">INDEX(Sheet1!$B$2:$F$22000,SMALL(IF(Sheet1!$A$2:$A$22000=$A$1,ROW(Sheet1!$B$2:$B$22000)),ROW($A410:$F410))-1,2)</f>
        <v>0</v>
      </c>
      <c r="D412" s="4">
        <f t="array" ref="D412">INDEX(Sheet1!$B$2:$F$22000,SMALL(IF(Sheet1!$A$2:$A$22000=$A$1,ROW(Sheet1!$B$2:$B$22000)),ROW($A410:$F410))-1,3)</f>
        <v>0</v>
      </c>
      <c r="E412" s="4">
        <f t="array" ref="E412">INDEX(Sheet1!$B$2:$F$22000,SMALL(IF(Sheet1!$A$2:$A$22000=$A$1,ROW(Sheet1!$B$2:$B$22000)),ROW($A410:$F410))-1,4)</f>
        <v>0</v>
      </c>
      <c r="F412" s="4">
        <f t="array" ref="F412">INDEX(Sheet1!$B$2:$F$22000,SMALL(IF(Sheet1!$A$2:$A$22000=$A$1,ROW(Sheet1!$B$2:$B$22000)),ROW($A410:$F410))-1,5)</f>
        <v>0</v>
      </c>
      <c r="M412" s="9">
        <v>410</v>
      </c>
      <c r="N412" s="10">
        <f t="shared" si="41"/>
        <v>0</v>
      </c>
      <c r="O412" s="11">
        <f t="shared" si="42"/>
        <v>0</v>
      </c>
      <c r="P412" s="12">
        <f t="shared" si="43"/>
        <v>0</v>
      </c>
      <c r="Q412" s="13">
        <f t="shared" si="44"/>
        <v>0</v>
      </c>
      <c r="V412" s="14">
        <f t="shared" si="39"/>
        <v>0.80078125</v>
      </c>
      <c r="W412" s="10">
        <f t="shared" si="45"/>
        <v>0</v>
      </c>
      <c r="X412" s="11">
        <f t="shared" si="45"/>
        <v>0</v>
      </c>
      <c r="Y412" s="12">
        <f t="shared" si="45"/>
        <v>0</v>
      </c>
      <c r="Z412" s="13">
        <f t="shared" si="40"/>
        <v>0</v>
      </c>
    </row>
    <row r="413" spans="2:26" x14ac:dyDescent="0.25">
      <c r="B413" s="4">
        <v>411</v>
      </c>
      <c r="C413" s="4">
        <f t="array" ref="C413">INDEX(Sheet1!$B$2:$F$22000,SMALL(IF(Sheet1!$A$2:$A$22000=$A$1,ROW(Sheet1!$B$2:$B$22000)),ROW($A411:$F411))-1,2)</f>
        <v>0</v>
      </c>
      <c r="D413" s="4">
        <f t="array" ref="D413">INDEX(Sheet1!$B$2:$F$22000,SMALL(IF(Sheet1!$A$2:$A$22000=$A$1,ROW(Sheet1!$B$2:$B$22000)),ROW($A411:$F411))-1,3)</f>
        <v>0</v>
      </c>
      <c r="E413" s="4">
        <f t="array" ref="E413">INDEX(Sheet1!$B$2:$F$22000,SMALL(IF(Sheet1!$A$2:$A$22000=$A$1,ROW(Sheet1!$B$2:$B$22000)),ROW($A411:$F411))-1,4)</f>
        <v>0</v>
      </c>
      <c r="F413" s="4">
        <f t="array" ref="F413">INDEX(Sheet1!$B$2:$F$22000,SMALL(IF(Sheet1!$A$2:$A$22000=$A$1,ROW(Sheet1!$B$2:$B$22000)),ROW($A411:$F411))-1,5)</f>
        <v>0</v>
      </c>
      <c r="M413" s="9">
        <v>411</v>
      </c>
      <c r="N413" s="10">
        <f t="shared" si="41"/>
        <v>0</v>
      </c>
      <c r="O413" s="11">
        <f t="shared" si="42"/>
        <v>0</v>
      </c>
      <c r="P413" s="12">
        <f t="shared" si="43"/>
        <v>0</v>
      </c>
      <c r="Q413" s="13">
        <f t="shared" si="44"/>
        <v>0</v>
      </c>
      <c r="V413" s="14">
        <f t="shared" si="39"/>
        <v>0.802734375</v>
      </c>
      <c r="W413" s="10">
        <f t="shared" si="45"/>
        <v>0</v>
      </c>
      <c r="X413" s="11">
        <f t="shared" si="45"/>
        <v>0</v>
      </c>
      <c r="Y413" s="12">
        <f t="shared" si="45"/>
        <v>0</v>
      </c>
      <c r="Z413" s="13">
        <f t="shared" si="40"/>
        <v>0</v>
      </c>
    </row>
    <row r="414" spans="2:26" x14ac:dyDescent="0.25">
      <c r="B414" s="4">
        <v>412</v>
      </c>
      <c r="C414" s="4">
        <f t="array" ref="C414">INDEX(Sheet1!$B$2:$F$22000,SMALL(IF(Sheet1!$A$2:$A$22000=$A$1,ROW(Sheet1!$B$2:$B$22000)),ROW($A412:$F412))-1,2)</f>
        <v>0</v>
      </c>
      <c r="D414" s="4">
        <f t="array" ref="D414">INDEX(Sheet1!$B$2:$F$22000,SMALL(IF(Sheet1!$A$2:$A$22000=$A$1,ROW(Sheet1!$B$2:$B$22000)),ROW($A412:$F412))-1,3)</f>
        <v>0</v>
      </c>
      <c r="E414" s="4">
        <f t="array" ref="E414">INDEX(Sheet1!$B$2:$F$22000,SMALL(IF(Sheet1!$A$2:$A$22000=$A$1,ROW(Sheet1!$B$2:$B$22000)),ROW($A412:$F412))-1,4)</f>
        <v>0</v>
      </c>
      <c r="F414" s="4">
        <f t="array" ref="F414">INDEX(Sheet1!$B$2:$F$22000,SMALL(IF(Sheet1!$A$2:$A$22000=$A$1,ROW(Sheet1!$B$2:$B$22000)),ROW($A412:$F412))-1,5)</f>
        <v>0</v>
      </c>
      <c r="M414" s="9">
        <v>412</v>
      </c>
      <c r="N414" s="10">
        <f t="shared" si="41"/>
        <v>0</v>
      </c>
      <c r="O414" s="11">
        <f t="shared" si="42"/>
        <v>0</v>
      </c>
      <c r="P414" s="12">
        <f t="shared" si="43"/>
        <v>0</v>
      </c>
      <c r="Q414" s="13">
        <f t="shared" si="44"/>
        <v>0</v>
      </c>
      <c r="V414" s="14">
        <f t="shared" si="39"/>
        <v>0.8046875</v>
      </c>
      <c r="W414" s="10">
        <f t="shared" si="45"/>
        <v>0</v>
      </c>
      <c r="X414" s="11">
        <f t="shared" si="45"/>
        <v>0</v>
      </c>
      <c r="Y414" s="12">
        <f t="shared" si="45"/>
        <v>0</v>
      </c>
      <c r="Z414" s="13">
        <f t="shared" si="40"/>
        <v>0</v>
      </c>
    </row>
    <row r="415" spans="2:26" x14ac:dyDescent="0.25">
      <c r="B415" s="4">
        <v>413</v>
      </c>
      <c r="C415" s="4">
        <f t="array" ref="C415">INDEX(Sheet1!$B$2:$F$22000,SMALL(IF(Sheet1!$A$2:$A$22000=$A$1,ROW(Sheet1!$B$2:$B$22000)),ROW($A413:$F413))-1,2)</f>
        <v>0</v>
      </c>
      <c r="D415" s="4">
        <f t="array" ref="D415">INDEX(Sheet1!$B$2:$F$22000,SMALL(IF(Sheet1!$A$2:$A$22000=$A$1,ROW(Sheet1!$B$2:$B$22000)),ROW($A413:$F413))-1,3)</f>
        <v>0</v>
      </c>
      <c r="E415" s="4">
        <f t="array" ref="E415">INDEX(Sheet1!$B$2:$F$22000,SMALL(IF(Sheet1!$A$2:$A$22000=$A$1,ROW(Sheet1!$B$2:$B$22000)),ROW($A413:$F413))-1,4)</f>
        <v>0</v>
      </c>
      <c r="F415" s="4">
        <f t="array" ref="F415">INDEX(Sheet1!$B$2:$F$22000,SMALL(IF(Sheet1!$A$2:$A$22000=$A$1,ROW(Sheet1!$B$2:$B$22000)),ROW($A413:$F413))-1,5)</f>
        <v>0</v>
      </c>
      <c r="M415" s="9">
        <v>413</v>
      </c>
      <c r="N415" s="10">
        <f t="shared" si="41"/>
        <v>0</v>
      </c>
      <c r="O415" s="11">
        <f t="shared" si="42"/>
        <v>0</v>
      </c>
      <c r="P415" s="12">
        <f t="shared" si="43"/>
        <v>0</v>
      </c>
      <c r="Q415" s="13">
        <f t="shared" si="44"/>
        <v>0</v>
      </c>
      <c r="V415" s="14">
        <f t="shared" si="39"/>
        <v>0.806640625</v>
      </c>
      <c r="W415" s="10">
        <f t="shared" si="45"/>
        <v>0</v>
      </c>
      <c r="X415" s="11">
        <f t="shared" si="45"/>
        <v>0</v>
      </c>
      <c r="Y415" s="12">
        <f t="shared" si="45"/>
        <v>0</v>
      </c>
      <c r="Z415" s="13">
        <f t="shared" si="40"/>
        <v>0</v>
      </c>
    </row>
    <row r="416" spans="2:26" x14ac:dyDescent="0.25">
      <c r="B416" s="4">
        <v>414</v>
      </c>
      <c r="C416" s="4">
        <f t="array" ref="C416">INDEX(Sheet1!$B$2:$F$22000,SMALL(IF(Sheet1!$A$2:$A$22000=$A$1,ROW(Sheet1!$B$2:$B$22000)),ROW($A414:$F414))-1,2)</f>
        <v>0</v>
      </c>
      <c r="D416" s="4">
        <f t="array" ref="D416">INDEX(Sheet1!$B$2:$F$22000,SMALL(IF(Sheet1!$A$2:$A$22000=$A$1,ROW(Sheet1!$B$2:$B$22000)),ROW($A414:$F414))-1,3)</f>
        <v>0</v>
      </c>
      <c r="E416" s="4">
        <f t="array" ref="E416">INDEX(Sheet1!$B$2:$F$22000,SMALL(IF(Sheet1!$A$2:$A$22000=$A$1,ROW(Sheet1!$B$2:$B$22000)),ROW($A414:$F414))-1,4)</f>
        <v>0</v>
      </c>
      <c r="F416" s="4">
        <f t="array" ref="F416">INDEX(Sheet1!$B$2:$F$22000,SMALL(IF(Sheet1!$A$2:$A$22000=$A$1,ROW(Sheet1!$B$2:$B$22000)),ROW($A414:$F414))-1,5)</f>
        <v>0</v>
      </c>
      <c r="M416" s="9">
        <v>414</v>
      </c>
      <c r="N416" s="10">
        <f t="shared" si="41"/>
        <v>0</v>
      </c>
      <c r="O416" s="11">
        <f t="shared" si="42"/>
        <v>0</v>
      </c>
      <c r="P416" s="12">
        <f t="shared" si="43"/>
        <v>0</v>
      </c>
      <c r="Q416" s="13">
        <f t="shared" si="44"/>
        <v>0</v>
      </c>
      <c r="V416" s="14">
        <f t="shared" si="39"/>
        <v>0.80859375</v>
      </c>
      <c r="W416" s="10">
        <f t="shared" si="45"/>
        <v>0</v>
      </c>
      <c r="X416" s="11">
        <f t="shared" si="45"/>
        <v>0</v>
      </c>
      <c r="Y416" s="12">
        <f t="shared" si="45"/>
        <v>0</v>
      </c>
      <c r="Z416" s="13">
        <f t="shared" si="40"/>
        <v>0</v>
      </c>
    </row>
    <row r="417" spans="2:26" x14ac:dyDescent="0.25">
      <c r="B417" s="4">
        <v>415</v>
      </c>
      <c r="C417" s="4">
        <f t="array" ref="C417">INDEX(Sheet1!$B$2:$F$22000,SMALL(IF(Sheet1!$A$2:$A$22000=$A$1,ROW(Sheet1!$B$2:$B$22000)),ROW($A415:$F415))-1,2)</f>
        <v>0</v>
      </c>
      <c r="D417" s="4">
        <f t="array" ref="D417">INDEX(Sheet1!$B$2:$F$22000,SMALL(IF(Sheet1!$A$2:$A$22000=$A$1,ROW(Sheet1!$B$2:$B$22000)),ROW($A415:$F415))-1,3)</f>
        <v>0</v>
      </c>
      <c r="E417" s="4">
        <f t="array" ref="E417">INDEX(Sheet1!$B$2:$F$22000,SMALL(IF(Sheet1!$A$2:$A$22000=$A$1,ROW(Sheet1!$B$2:$B$22000)),ROW($A415:$F415))-1,4)</f>
        <v>0</v>
      </c>
      <c r="F417" s="4">
        <f t="array" ref="F417">INDEX(Sheet1!$B$2:$F$22000,SMALL(IF(Sheet1!$A$2:$A$22000=$A$1,ROW(Sheet1!$B$2:$B$22000)),ROW($A415:$F415))-1,5)</f>
        <v>0</v>
      </c>
      <c r="M417" s="9">
        <v>415</v>
      </c>
      <c r="N417" s="10">
        <f t="shared" si="41"/>
        <v>0</v>
      </c>
      <c r="O417" s="11">
        <f t="shared" si="42"/>
        <v>0</v>
      </c>
      <c r="P417" s="12">
        <f t="shared" si="43"/>
        <v>0</v>
      </c>
      <c r="Q417" s="13">
        <f t="shared" si="44"/>
        <v>0</v>
      </c>
      <c r="V417" s="14">
        <f t="shared" si="39"/>
        <v>0.810546875</v>
      </c>
      <c r="W417" s="10">
        <f t="shared" si="45"/>
        <v>0</v>
      </c>
      <c r="X417" s="11">
        <f t="shared" si="45"/>
        <v>0</v>
      </c>
      <c r="Y417" s="12">
        <f t="shared" si="45"/>
        <v>0</v>
      </c>
      <c r="Z417" s="13">
        <f t="shared" si="40"/>
        <v>0</v>
      </c>
    </row>
    <row r="418" spans="2:26" x14ac:dyDescent="0.25">
      <c r="B418" s="4">
        <v>416</v>
      </c>
      <c r="C418" s="4">
        <f t="array" ref="C418">INDEX(Sheet1!$B$2:$F$22000,SMALL(IF(Sheet1!$A$2:$A$22000=$A$1,ROW(Sheet1!$B$2:$B$22000)),ROW($A416:$F416))-1,2)</f>
        <v>0</v>
      </c>
      <c r="D418" s="4">
        <f t="array" ref="D418">INDEX(Sheet1!$B$2:$F$22000,SMALL(IF(Sheet1!$A$2:$A$22000=$A$1,ROW(Sheet1!$B$2:$B$22000)),ROW($A416:$F416))-1,3)</f>
        <v>0</v>
      </c>
      <c r="E418" s="4">
        <f t="array" ref="E418">INDEX(Sheet1!$B$2:$F$22000,SMALL(IF(Sheet1!$A$2:$A$22000=$A$1,ROW(Sheet1!$B$2:$B$22000)),ROW($A416:$F416))-1,4)</f>
        <v>0</v>
      </c>
      <c r="F418" s="4">
        <f t="array" ref="F418">INDEX(Sheet1!$B$2:$F$22000,SMALL(IF(Sheet1!$A$2:$A$22000=$A$1,ROW(Sheet1!$B$2:$B$22000)),ROW($A416:$F416))-1,5)</f>
        <v>0</v>
      </c>
      <c r="M418" s="9">
        <v>416</v>
      </c>
      <c r="N418" s="10">
        <f t="shared" si="41"/>
        <v>0</v>
      </c>
      <c r="O418" s="11">
        <f t="shared" si="42"/>
        <v>0</v>
      </c>
      <c r="P418" s="12">
        <f t="shared" si="43"/>
        <v>0</v>
      </c>
      <c r="Q418" s="13">
        <f t="shared" si="44"/>
        <v>0</v>
      </c>
      <c r="V418" s="14">
        <f t="shared" si="39"/>
        <v>0.8125</v>
      </c>
      <c r="W418" s="10">
        <f t="shared" si="45"/>
        <v>0</v>
      </c>
      <c r="X418" s="11">
        <f t="shared" si="45"/>
        <v>0</v>
      </c>
      <c r="Y418" s="12">
        <f t="shared" si="45"/>
        <v>0</v>
      </c>
      <c r="Z418" s="13">
        <f t="shared" si="40"/>
        <v>0</v>
      </c>
    </row>
    <row r="419" spans="2:26" x14ac:dyDescent="0.25">
      <c r="B419" s="4">
        <v>417</v>
      </c>
      <c r="C419" s="4">
        <f t="array" ref="C419">INDEX(Sheet1!$B$2:$F$22000,SMALL(IF(Sheet1!$A$2:$A$22000=$A$1,ROW(Sheet1!$B$2:$B$22000)),ROW($A417:$F417))-1,2)</f>
        <v>0</v>
      </c>
      <c r="D419" s="4">
        <f t="array" ref="D419">INDEX(Sheet1!$B$2:$F$22000,SMALL(IF(Sheet1!$A$2:$A$22000=$A$1,ROW(Sheet1!$B$2:$B$22000)),ROW($A417:$F417))-1,3)</f>
        <v>0</v>
      </c>
      <c r="E419" s="4">
        <f t="array" ref="E419">INDEX(Sheet1!$B$2:$F$22000,SMALL(IF(Sheet1!$A$2:$A$22000=$A$1,ROW(Sheet1!$B$2:$B$22000)),ROW($A417:$F417))-1,4)</f>
        <v>0</v>
      </c>
      <c r="F419" s="4">
        <f t="array" ref="F419">INDEX(Sheet1!$B$2:$F$22000,SMALL(IF(Sheet1!$A$2:$A$22000=$A$1,ROW(Sheet1!$B$2:$B$22000)),ROW($A417:$F417))-1,5)</f>
        <v>0</v>
      </c>
      <c r="M419" s="9">
        <v>417</v>
      </c>
      <c r="N419" s="10">
        <f t="shared" si="41"/>
        <v>0</v>
      </c>
      <c r="O419" s="11">
        <f t="shared" si="42"/>
        <v>0</v>
      </c>
      <c r="P419" s="12">
        <f t="shared" si="43"/>
        <v>0</v>
      </c>
      <c r="Q419" s="13">
        <f t="shared" si="44"/>
        <v>0</v>
      </c>
      <c r="V419" s="14">
        <f t="shared" si="39"/>
        <v>0.814453125</v>
      </c>
      <c r="W419" s="10">
        <f t="shared" si="45"/>
        <v>0</v>
      </c>
      <c r="X419" s="11">
        <f t="shared" si="45"/>
        <v>0</v>
      </c>
      <c r="Y419" s="12">
        <f t="shared" si="45"/>
        <v>0</v>
      </c>
      <c r="Z419" s="13">
        <f t="shared" si="40"/>
        <v>0</v>
      </c>
    </row>
    <row r="420" spans="2:26" x14ac:dyDescent="0.25">
      <c r="B420" s="4">
        <v>418</v>
      </c>
      <c r="C420" s="4">
        <f t="array" ref="C420">INDEX(Sheet1!$B$2:$F$22000,SMALL(IF(Sheet1!$A$2:$A$22000=$A$1,ROW(Sheet1!$B$2:$B$22000)),ROW($A418:$F418))-1,2)</f>
        <v>0</v>
      </c>
      <c r="D420" s="4">
        <f t="array" ref="D420">INDEX(Sheet1!$B$2:$F$22000,SMALL(IF(Sheet1!$A$2:$A$22000=$A$1,ROW(Sheet1!$B$2:$B$22000)),ROW($A418:$F418))-1,3)</f>
        <v>0</v>
      </c>
      <c r="E420" s="4">
        <f t="array" ref="E420">INDEX(Sheet1!$B$2:$F$22000,SMALL(IF(Sheet1!$A$2:$A$22000=$A$1,ROW(Sheet1!$B$2:$B$22000)),ROW($A418:$F418))-1,4)</f>
        <v>0</v>
      </c>
      <c r="F420" s="4">
        <f t="array" ref="F420">INDEX(Sheet1!$B$2:$F$22000,SMALL(IF(Sheet1!$A$2:$A$22000=$A$1,ROW(Sheet1!$B$2:$B$22000)),ROW($A418:$F418))-1,5)</f>
        <v>0</v>
      </c>
      <c r="M420" s="9">
        <v>418</v>
      </c>
      <c r="N420" s="10">
        <f t="shared" si="41"/>
        <v>0</v>
      </c>
      <c r="O420" s="11">
        <f t="shared" si="42"/>
        <v>0</v>
      </c>
      <c r="P420" s="12">
        <f t="shared" si="43"/>
        <v>0</v>
      </c>
      <c r="Q420" s="13">
        <f t="shared" si="44"/>
        <v>0</v>
      </c>
      <c r="V420" s="14">
        <f t="shared" si="39"/>
        <v>0.81640625</v>
      </c>
      <c r="W420" s="10">
        <f t="shared" si="45"/>
        <v>0</v>
      </c>
      <c r="X420" s="11">
        <f t="shared" si="45"/>
        <v>0</v>
      </c>
      <c r="Y420" s="12">
        <f t="shared" si="45"/>
        <v>0</v>
      </c>
      <c r="Z420" s="13">
        <f t="shared" si="40"/>
        <v>0</v>
      </c>
    </row>
    <row r="421" spans="2:26" x14ac:dyDescent="0.25">
      <c r="B421" s="4">
        <v>419</v>
      </c>
      <c r="C421" s="4">
        <f t="array" ref="C421">INDEX(Sheet1!$B$2:$F$22000,SMALL(IF(Sheet1!$A$2:$A$22000=$A$1,ROW(Sheet1!$B$2:$B$22000)),ROW($A419:$F419))-1,2)</f>
        <v>0</v>
      </c>
      <c r="D421" s="4">
        <f t="array" ref="D421">INDEX(Sheet1!$B$2:$F$22000,SMALL(IF(Sheet1!$A$2:$A$22000=$A$1,ROW(Sheet1!$B$2:$B$22000)),ROW($A419:$F419))-1,3)</f>
        <v>0</v>
      </c>
      <c r="E421" s="4">
        <f t="array" ref="E421">INDEX(Sheet1!$B$2:$F$22000,SMALL(IF(Sheet1!$A$2:$A$22000=$A$1,ROW(Sheet1!$B$2:$B$22000)),ROW($A419:$F419))-1,4)</f>
        <v>0</v>
      </c>
      <c r="F421" s="4">
        <f t="array" ref="F421">INDEX(Sheet1!$B$2:$F$22000,SMALL(IF(Sheet1!$A$2:$A$22000=$A$1,ROW(Sheet1!$B$2:$B$22000)),ROW($A419:$F419))-1,5)</f>
        <v>0</v>
      </c>
      <c r="M421" s="9">
        <v>419</v>
      </c>
      <c r="N421" s="10">
        <f t="shared" si="41"/>
        <v>0</v>
      </c>
      <c r="O421" s="11">
        <f t="shared" si="42"/>
        <v>0</v>
      </c>
      <c r="P421" s="12">
        <f t="shared" si="43"/>
        <v>0</v>
      </c>
      <c r="Q421" s="13">
        <f t="shared" si="44"/>
        <v>0</v>
      </c>
      <c r="V421" s="14">
        <f t="shared" si="39"/>
        <v>0.818359375</v>
      </c>
      <c r="W421" s="10">
        <f t="shared" si="45"/>
        <v>0</v>
      </c>
      <c r="X421" s="11">
        <f t="shared" si="45"/>
        <v>0</v>
      </c>
      <c r="Y421" s="12">
        <f t="shared" si="45"/>
        <v>0</v>
      </c>
      <c r="Z421" s="13">
        <f t="shared" si="40"/>
        <v>0</v>
      </c>
    </row>
    <row r="422" spans="2:26" x14ac:dyDescent="0.25">
      <c r="B422" s="4">
        <v>420</v>
      </c>
      <c r="C422" s="4">
        <f t="array" ref="C422">INDEX(Sheet1!$B$2:$F$22000,SMALL(IF(Sheet1!$A$2:$A$22000=$A$1,ROW(Sheet1!$B$2:$B$22000)),ROW($A420:$F420))-1,2)</f>
        <v>0</v>
      </c>
      <c r="D422" s="4">
        <f t="array" ref="D422">INDEX(Sheet1!$B$2:$F$22000,SMALL(IF(Sheet1!$A$2:$A$22000=$A$1,ROW(Sheet1!$B$2:$B$22000)),ROW($A420:$F420))-1,3)</f>
        <v>0</v>
      </c>
      <c r="E422" s="4">
        <f t="array" ref="E422">INDEX(Sheet1!$B$2:$F$22000,SMALL(IF(Sheet1!$A$2:$A$22000=$A$1,ROW(Sheet1!$B$2:$B$22000)),ROW($A420:$F420))-1,4)</f>
        <v>0</v>
      </c>
      <c r="F422" s="4">
        <f t="array" ref="F422">INDEX(Sheet1!$B$2:$F$22000,SMALL(IF(Sheet1!$A$2:$A$22000=$A$1,ROW(Sheet1!$B$2:$B$22000)),ROW($A420:$F420))-1,5)</f>
        <v>0</v>
      </c>
      <c r="M422" s="9">
        <v>420</v>
      </c>
      <c r="N422" s="10">
        <f t="shared" si="41"/>
        <v>0</v>
      </c>
      <c r="O422" s="11">
        <f t="shared" si="42"/>
        <v>0</v>
      </c>
      <c r="P422" s="12">
        <f t="shared" si="43"/>
        <v>0</v>
      </c>
      <c r="Q422" s="13">
        <f t="shared" si="44"/>
        <v>0</v>
      </c>
      <c r="V422" s="14">
        <f t="shared" si="39"/>
        <v>0.8203125</v>
      </c>
      <c r="W422" s="10">
        <f t="shared" si="45"/>
        <v>0</v>
      </c>
      <c r="X422" s="11">
        <f t="shared" si="45"/>
        <v>0</v>
      </c>
      <c r="Y422" s="12">
        <f t="shared" si="45"/>
        <v>0</v>
      </c>
      <c r="Z422" s="13">
        <f t="shared" si="40"/>
        <v>0</v>
      </c>
    </row>
    <row r="423" spans="2:26" x14ac:dyDescent="0.25">
      <c r="B423" s="4">
        <v>421</v>
      </c>
      <c r="C423" s="4">
        <f t="array" ref="C423">INDEX(Sheet1!$B$2:$F$22000,SMALL(IF(Sheet1!$A$2:$A$22000=$A$1,ROW(Sheet1!$B$2:$B$22000)),ROW($A421:$F421))-1,2)</f>
        <v>0</v>
      </c>
      <c r="D423" s="4">
        <f t="array" ref="D423">INDEX(Sheet1!$B$2:$F$22000,SMALL(IF(Sheet1!$A$2:$A$22000=$A$1,ROW(Sheet1!$B$2:$B$22000)),ROW($A421:$F421))-1,3)</f>
        <v>0</v>
      </c>
      <c r="E423" s="4">
        <f t="array" ref="E423">INDEX(Sheet1!$B$2:$F$22000,SMALL(IF(Sheet1!$A$2:$A$22000=$A$1,ROW(Sheet1!$B$2:$B$22000)),ROW($A421:$F421))-1,4)</f>
        <v>0</v>
      </c>
      <c r="F423" s="4">
        <f t="array" ref="F423">INDEX(Sheet1!$B$2:$F$22000,SMALL(IF(Sheet1!$A$2:$A$22000=$A$1,ROW(Sheet1!$B$2:$B$22000)),ROW($A421:$F421))-1,5)</f>
        <v>0</v>
      </c>
      <c r="M423" s="9">
        <v>421</v>
      </c>
      <c r="N423" s="10">
        <f t="shared" si="41"/>
        <v>0</v>
      </c>
      <c r="O423" s="11">
        <f t="shared" si="42"/>
        <v>0</v>
      </c>
      <c r="P423" s="12">
        <f t="shared" si="43"/>
        <v>0</v>
      </c>
      <c r="Q423" s="13">
        <f t="shared" si="44"/>
        <v>0</v>
      </c>
      <c r="V423" s="14">
        <f t="shared" si="39"/>
        <v>0.822265625</v>
      </c>
      <c r="W423" s="10">
        <f t="shared" si="45"/>
        <v>0</v>
      </c>
      <c r="X423" s="11">
        <f t="shared" si="45"/>
        <v>0</v>
      </c>
      <c r="Y423" s="12">
        <f t="shared" si="45"/>
        <v>0</v>
      </c>
      <c r="Z423" s="13">
        <f t="shared" si="40"/>
        <v>0</v>
      </c>
    </row>
    <row r="424" spans="2:26" x14ac:dyDescent="0.25">
      <c r="B424" s="4">
        <v>422</v>
      </c>
      <c r="C424" s="4">
        <f t="array" ref="C424">INDEX(Sheet1!$B$2:$F$22000,SMALL(IF(Sheet1!$A$2:$A$22000=$A$1,ROW(Sheet1!$B$2:$B$22000)),ROW($A422:$F422))-1,2)</f>
        <v>0</v>
      </c>
      <c r="D424" s="4">
        <f t="array" ref="D424">INDEX(Sheet1!$B$2:$F$22000,SMALL(IF(Sheet1!$A$2:$A$22000=$A$1,ROW(Sheet1!$B$2:$B$22000)),ROW($A422:$F422))-1,3)</f>
        <v>0</v>
      </c>
      <c r="E424" s="4">
        <f t="array" ref="E424">INDEX(Sheet1!$B$2:$F$22000,SMALL(IF(Sheet1!$A$2:$A$22000=$A$1,ROW(Sheet1!$B$2:$B$22000)),ROW($A422:$F422))-1,4)</f>
        <v>0</v>
      </c>
      <c r="F424" s="4">
        <f t="array" ref="F424">INDEX(Sheet1!$B$2:$F$22000,SMALL(IF(Sheet1!$A$2:$A$22000=$A$1,ROW(Sheet1!$B$2:$B$22000)),ROW($A422:$F422))-1,5)</f>
        <v>0</v>
      </c>
      <c r="M424" s="9">
        <v>422</v>
      </c>
      <c r="N424" s="10">
        <f t="shared" si="41"/>
        <v>0</v>
      </c>
      <c r="O424" s="11">
        <f t="shared" si="42"/>
        <v>0</v>
      </c>
      <c r="P424" s="12">
        <f t="shared" si="43"/>
        <v>0</v>
      </c>
      <c r="Q424" s="13">
        <f t="shared" si="44"/>
        <v>0</v>
      </c>
      <c r="V424" s="14">
        <f t="shared" si="39"/>
        <v>0.82421875</v>
      </c>
      <c r="W424" s="10">
        <f t="shared" si="45"/>
        <v>0</v>
      </c>
      <c r="X424" s="11">
        <f t="shared" si="45"/>
        <v>0</v>
      </c>
      <c r="Y424" s="12">
        <f t="shared" si="45"/>
        <v>0</v>
      </c>
      <c r="Z424" s="13">
        <f t="shared" si="40"/>
        <v>0</v>
      </c>
    </row>
    <row r="425" spans="2:26" x14ac:dyDescent="0.25">
      <c r="B425" s="4">
        <v>423</v>
      </c>
      <c r="C425" s="4">
        <f t="array" ref="C425">INDEX(Sheet1!$B$2:$F$22000,SMALL(IF(Sheet1!$A$2:$A$22000=$A$1,ROW(Sheet1!$B$2:$B$22000)),ROW($A423:$F423))-1,2)</f>
        <v>0</v>
      </c>
      <c r="D425" s="4">
        <f t="array" ref="D425">INDEX(Sheet1!$B$2:$F$22000,SMALL(IF(Sheet1!$A$2:$A$22000=$A$1,ROW(Sheet1!$B$2:$B$22000)),ROW($A423:$F423))-1,3)</f>
        <v>0</v>
      </c>
      <c r="E425" s="4">
        <f t="array" ref="E425">INDEX(Sheet1!$B$2:$F$22000,SMALL(IF(Sheet1!$A$2:$A$22000=$A$1,ROW(Sheet1!$B$2:$B$22000)),ROW($A423:$F423))-1,4)</f>
        <v>0</v>
      </c>
      <c r="F425" s="4">
        <f t="array" ref="F425">INDEX(Sheet1!$B$2:$F$22000,SMALL(IF(Sheet1!$A$2:$A$22000=$A$1,ROW(Sheet1!$B$2:$B$22000)),ROW($A423:$F423))-1,5)</f>
        <v>0</v>
      </c>
      <c r="M425" s="9">
        <v>423</v>
      </c>
      <c r="N425" s="10">
        <f t="shared" si="41"/>
        <v>0</v>
      </c>
      <c r="O425" s="11">
        <f t="shared" si="42"/>
        <v>0</v>
      </c>
      <c r="P425" s="12">
        <f t="shared" si="43"/>
        <v>0</v>
      </c>
      <c r="Q425" s="13">
        <f t="shared" si="44"/>
        <v>0</v>
      </c>
      <c r="V425" s="14">
        <f t="shared" si="39"/>
        <v>0.826171875</v>
      </c>
      <c r="W425" s="10">
        <f t="shared" si="45"/>
        <v>0</v>
      </c>
      <c r="X425" s="11">
        <f t="shared" si="45"/>
        <v>0</v>
      </c>
      <c r="Y425" s="12">
        <f t="shared" si="45"/>
        <v>0</v>
      </c>
      <c r="Z425" s="13">
        <f t="shared" si="40"/>
        <v>0</v>
      </c>
    </row>
    <row r="426" spans="2:26" x14ac:dyDescent="0.25">
      <c r="B426" s="4">
        <v>424</v>
      </c>
      <c r="C426" s="4">
        <f t="array" ref="C426">INDEX(Sheet1!$B$2:$F$22000,SMALL(IF(Sheet1!$A$2:$A$22000=$A$1,ROW(Sheet1!$B$2:$B$22000)),ROW($A424:$F424))-1,2)</f>
        <v>0</v>
      </c>
      <c r="D426" s="4">
        <f t="array" ref="D426">INDEX(Sheet1!$B$2:$F$22000,SMALL(IF(Sheet1!$A$2:$A$22000=$A$1,ROW(Sheet1!$B$2:$B$22000)),ROW($A424:$F424))-1,3)</f>
        <v>0</v>
      </c>
      <c r="E426" s="4">
        <f t="array" ref="E426">INDEX(Sheet1!$B$2:$F$22000,SMALL(IF(Sheet1!$A$2:$A$22000=$A$1,ROW(Sheet1!$B$2:$B$22000)),ROW($A424:$F424))-1,4)</f>
        <v>0</v>
      </c>
      <c r="F426" s="4">
        <f t="array" ref="F426">INDEX(Sheet1!$B$2:$F$22000,SMALL(IF(Sheet1!$A$2:$A$22000=$A$1,ROW(Sheet1!$B$2:$B$22000)),ROW($A424:$F424))-1,5)</f>
        <v>0</v>
      </c>
      <c r="M426" s="9">
        <v>424</v>
      </c>
      <c r="N426" s="10">
        <f t="shared" si="41"/>
        <v>0</v>
      </c>
      <c r="O426" s="11">
        <f t="shared" si="42"/>
        <v>0</v>
      </c>
      <c r="P426" s="12">
        <f t="shared" si="43"/>
        <v>0</v>
      </c>
      <c r="Q426" s="13">
        <f t="shared" si="44"/>
        <v>0</v>
      </c>
      <c r="V426" s="14">
        <f t="shared" si="39"/>
        <v>0.828125</v>
      </c>
      <c r="W426" s="10">
        <f t="shared" si="45"/>
        <v>0</v>
      </c>
      <c r="X426" s="11">
        <f t="shared" si="45"/>
        <v>0</v>
      </c>
      <c r="Y426" s="12">
        <f t="shared" si="45"/>
        <v>0</v>
      </c>
      <c r="Z426" s="13">
        <f t="shared" si="40"/>
        <v>0</v>
      </c>
    </row>
    <row r="427" spans="2:26" x14ac:dyDescent="0.25">
      <c r="B427" s="4">
        <v>425</v>
      </c>
      <c r="C427" s="4">
        <f t="array" ref="C427">INDEX(Sheet1!$B$2:$F$22000,SMALL(IF(Sheet1!$A$2:$A$22000=$A$1,ROW(Sheet1!$B$2:$B$22000)),ROW($A425:$F425))-1,2)</f>
        <v>0</v>
      </c>
      <c r="D427" s="4">
        <f t="array" ref="D427">INDEX(Sheet1!$B$2:$F$22000,SMALL(IF(Sheet1!$A$2:$A$22000=$A$1,ROW(Sheet1!$B$2:$B$22000)),ROW($A425:$F425))-1,3)</f>
        <v>0</v>
      </c>
      <c r="E427" s="4">
        <f t="array" ref="E427">INDEX(Sheet1!$B$2:$F$22000,SMALL(IF(Sheet1!$A$2:$A$22000=$A$1,ROW(Sheet1!$B$2:$B$22000)),ROW($A425:$F425))-1,4)</f>
        <v>0</v>
      </c>
      <c r="F427" s="4">
        <f t="array" ref="F427">INDEX(Sheet1!$B$2:$F$22000,SMALL(IF(Sheet1!$A$2:$A$22000=$A$1,ROW(Sheet1!$B$2:$B$22000)),ROW($A425:$F425))-1,5)</f>
        <v>0</v>
      </c>
      <c r="M427" s="9">
        <v>425</v>
      </c>
      <c r="N427" s="10">
        <f t="shared" si="41"/>
        <v>0</v>
      </c>
      <c r="O427" s="11">
        <f t="shared" si="42"/>
        <v>0</v>
      </c>
      <c r="P427" s="12">
        <f t="shared" si="43"/>
        <v>0</v>
      </c>
      <c r="Q427" s="13">
        <f t="shared" si="44"/>
        <v>0</v>
      </c>
      <c r="V427" s="14">
        <f t="shared" si="39"/>
        <v>0.830078125</v>
      </c>
      <c r="W427" s="10">
        <f t="shared" si="45"/>
        <v>0</v>
      </c>
      <c r="X427" s="11">
        <f t="shared" si="45"/>
        <v>0</v>
      </c>
      <c r="Y427" s="12">
        <f t="shared" si="45"/>
        <v>0</v>
      </c>
      <c r="Z427" s="13">
        <f t="shared" si="40"/>
        <v>0</v>
      </c>
    </row>
    <row r="428" spans="2:26" x14ac:dyDescent="0.25">
      <c r="B428" s="4">
        <v>426</v>
      </c>
      <c r="C428" s="4">
        <f t="array" ref="C428">INDEX(Sheet1!$B$2:$F$22000,SMALL(IF(Sheet1!$A$2:$A$22000=$A$1,ROW(Sheet1!$B$2:$B$22000)),ROW($A426:$F426))-1,2)</f>
        <v>0</v>
      </c>
      <c r="D428" s="4">
        <f t="array" ref="D428">INDEX(Sheet1!$B$2:$F$22000,SMALL(IF(Sheet1!$A$2:$A$22000=$A$1,ROW(Sheet1!$B$2:$B$22000)),ROW($A426:$F426))-1,3)</f>
        <v>0</v>
      </c>
      <c r="E428" s="4">
        <f t="array" ref="E428">INDEX(Sheet1!$B$2:$F$22000,SMALL(IF(Sheet1!$A$2:$A$22000=$A$1,ROW(Sheet1!$B$2:$B$22000)),ROW($A426:$F426))-1,4)</f>
        <v>0</v>
      </c>
      <c r="F428" s="4">
        <f t="array" ref="F428">INDEX(Sheet1!$B$2:$F$22000,SMALL(IF(Sheet1!$A$2:$A$22000=$A$1,ROW(Sheet1!$B$2:$B$22000)),ROW($A426:$F426))-1,5)</f>
        <v>0</v>
      </c>
      <c r="M428" s="9">
        <v>426</v>
      </c>
      <c r="N428" s="10">
        <f t="shared" si="41"/>
        <v>0</v>
      </c>
      <c r="O428" s="11">
        <f t="shared" si="42"/>
        <v>0</v>
      </c>
      <c r="P428" s="12">
        <f t="shared" si="43"/>
        <v>0</v>
      </c>
      <c r="Q428" s="13">
        <f t="shared" si="44"/>
        <v>0</v>
      </c>
      <c r="V428" s="14">
        <f t="shared" si="39"/>
        <v>0.83203125</v>
      </c>
      <c r="W428" s="10">
        <f t="shared" si="45"/>
        <v>0</v>
      </c>
      <c r="X428" s="11">
        <f t="shared" si="45"/>
        <v>0</v>
      </c>
      <c r="Y428" s="12">
        <f t="shared" si="45"/>
        <v>0</v>
      </c>
      <c r="Z428" s="13">
        <f t="shared" si="40"/>
        <v>0</v>
      </c>
    </row>
    <row r="429" spans="2:26" x14ac:dyDescent="0.25">
      <c r="B429" s="4">
        <v>427</v>
      </c>
      <c r="C429" s="4">
        <f t="array" ref="C429">INDEX(Sheet1!$B$2:$F$22000,SMALL(IF(Sheet1!$A$2:$A$22000=$A$1,ROW(Sheet1!$B$2:$B$22000)),ROW($A427:$F427))-1,2)</f>
        <v>0</v>
      </c>
      <c r="D429" s="4">
        <f t="array" ref="D429">INDEX(Sheet1!$B$2:$F$22000,SMALL(IF(Sheet1!$A$2:$A$22000=$A$1,ROW(Sheet1!$B$2:$B$22000)),ROW($A427:$F427))-1,3)</f>
        <v>0</v>
      </c>
      <c r="E429" s="4">
        <f t="array" ref="E429">INDEX(Sheet1!$B$2:$F$22000,SMALL(IF(Sheet1!$A$2:$A$22000=$A$1,ROW(Sheet1!$B$2:$B$22000)),ROW($A427:$F427))-1,4)</f>
        <v>0</v>
      </c>
      <c r="F429" s="4">
        <f t="array" ref="F429">INDEX(Sheet1!$B$2:$F$22000,SMALL(IF(Sheet1!$A$2:$A$22000=$A$1,ROW(Sheet1!$B$2:$B$22000)),ROW($A427:$F427))-1,5)</f>
        <v>0</v>
      </c>
      <c r="M429" s="9">
        <v>427</v>
      </c>
      <c r="N429" s="10">
        <f t="shared" si="41"/>
        <v>0</v>
      </c>
      <c r="O429" s="11">
        <f t="shared" si="42"/>
        <v>0</v>
      </c>
      <c r="P429" s="12">
        <f t="shared" si="43"/>
        <v>0</v>
      </c>
      <c r="Q429" s="13">
        <f t="shared" si="44"/>
        <v>0</v>
      </c>
      <c r="V429" s="14">
        <f t="shared" si="39"/>
        <v>0.833984375</v>
      </c>
      <c r="W429" s="10">
        <f t="shared" si="45"/>
        <v>0</v>
      </c>
      <c r="X429" s="11">
        <f t="shared" si="45"/>
        <v>0</v>
      </c>
      <c r="Y429" s="12">
        <f t="shared" si="45"/>
        <v>0</v>
      </c>
      <c r="Z429" s="13">
        <f t="shared" si="40"/>
        <v>0</v>
      </c>
    </row>
    <row r="430" spans="2:26" x14ac:dyDescent="0.25">
      <c r="B430" s="4">
        <v>428</v>
      </c>
      <c r="C430" s="4">
        <f t="array" ref="C430">INDEX(Sheet1!$B$2:$F$22000,SMALL(IF(Sheet1!$A$2:$A$22000=$A$1,ROW(Sheet1!$B$2:$B$22000)),ROW($A428:$F428))-1,2)</f>
        <v>0</v>
      </c>
      <c r="D430" s="4">
        <f t="array" ref="D430">INDEX(Sheet1!$B$2:$F$22000,SMALL(IF(Sheet1!$A$2:$A$22000=$A$1,ROW(Sheet1!$B$2:$B$22000)),ROW($A428:$F428))-1,3)</f>
        <v>0</v>
      </c>
      <c r="E430" s="4">
        <f t="array" ref="E430">INDEX(Sheet1!$B$2:$F$22000,SMALL(IF(Sheet1!$A$2:$A$22000=$A$1,ROW(Sheet1!$B$2:$B$22000)),ROW($A428:$F428))-1,4)</f>
        <v>0</v>
      </c>
      <c r="F430" s="4">
        <f t="array" ref="F430">INDEX(Sheet1!$B$2:$F$22000,SMALL(IF(Sheet1!$A$2:$A$22000=$A$1,ROW(Sheet1!$B$2:$B$22000)),ROW($A428:$F428))-1,5)</f>
        <v>0</v>
      </c>
      <c r="M430" s="9">
        <v>428</v>
      </c>
      <c r="N430" s="10">
        <f t="shared" si="41"/>
        <v>0</v>
      </c>
      <c r="O430" s="11">
        <f t="shared" si="42"/>
        <v>0</v>
      </c>
      <c r="P430" s="12">
        <f t="shared" si="43"/>
        <v>0</v>
      </c>
      <c r="Q430" s="13">
        <f t="shared" si="44"/>
        <v>0</v>
      </c>
      <c r="V430" s="14">
        <f t="shared" si="39"/>
        <v>0.8359375</v>
      </c>
      <c r="W430" s="10">
        <f t="shared" si="45"/>
        <v>0</v>
      </c>
      <c r="X430" s="11">
        <f t="shared" si="45"/>
        <v>0</v>
      </c>
      <c r="Y430" s="12">
        <f t="shared" si="45"/>
        <v>0</v>
      </c>
      <c r="Z430" s="13">
        <f t="shared" si="40"/>
        <v>0</v>
      </c>
    </row>
    <row r="431" spans="2:26" x14ac:dyDescent="0.25">
      <c r="B431" s="4">
        <v>429</v>
      </c>
      <c r="C431" s="4">
        <f t="array" ref="C431">INDEX(Sheet1!$B$2:$F$22000,SMALL(IF(Sheet1!$A$2:$A$22000=$A$1,ROW(Sheet1!$B$2:$B$22000)),ROW($A429:$F429))-1,2)</f>
        <v>0</v>
      </c>
      <c r="D431" s="4">
        <f t="array" ref="D431">INDEX(Sheet1!$B$2:$F$22000,SMALL(IF(Sheet1!$A$2:$A$22000=$A$1,ROW(Sheet1!$B$2:$B$22000)),ROW($A429:$F429))-1,3)</f>
        <v>0</v>
      </c>
      <c r="E431" s="4">
        <f t="array" ref="E431">INDEX(Sheet1!$B$2:$F$22000,SMALL(IF(Sheet1!$A$2:$A$22000=$A$1,ROW(Sheet1!$B$2:$B$22000)),ROW($A429:$F429))-1,4)</f>
        <v>0</v>
      </c>
      <c r="F431" s="4">
        <f t="array" ref="F431">INDEX(Sheet1!$B$2:$F$22000,SMALL(IF(Sheet1!$A$2:$A$22000=$A$1,ROW(Sheet1!$B$2:$B$22000)),ROW($A429:$F429))-1,5)</f>
        <v>0</v>
      </c>
      <c r="M431" s="9">
        <v>429</v>
      </c>
      <c r="N431" s="10">
        <f t="shared" si="41"/>
        <v>0</v>
      </c>
      <c r="O431" s="11">
        <f t="shared" si="42"/>
        <v>0</v>
      </c>
      <c r="P431" s="12">
        <f t="shared" si="43"/>
        <v>0</v>
      </c>
      <c r="Q431" s="13">
        <f t="shared" si="44"/>
        <v>0</v>
      </c>
      <c r="V431" s="14">
        <f t="shared" si="39"/>
        <v>0.837890625</v>
      </c>
      <c r="W431" s="10">
        <f t="shared" si="45"/>
        <v>0</v>
      </c>
      <c r="X431" s="11">
        <f t="shared" si="45"/>
        <v>0</v>
      </c>
      <c r="Y431" s="12">
        <f t="shared" si="45"/>
        <v>0</v>
      </c>
      <c r="Z431" s="13">
        <f t="shared" si="40"/>
        <v>0</v>
      </c>
    </row>
    <row r="432" spans="2:26" x14ac:dyDescent="0.25">
      <c r="B432" s="4">
        <v>430</v>
      </c>
      <c r="C432" s="4">
        <f t="array" ref="C432">INDEX(Sheet1!$B$2:$F$22000,SMALL(IF(Sheet1!$A$2:$A$22000=$A$1,ROW(Sheet1!$B$2:$B$22000)),ROW($A430:$F430))-1,2)</f>
        <v>0</v>
      </c>
      <c r="D432" s="4">
        <f t="array" ref="D432">INDEX(Sheet1!$B$2:$F$22000,SMALL(IF(Sheet1!$A$2:$A$22000=$A$1,ROW(Sheet1!$B$2:$B$22000)),ROW($A430:$F430))-1,3)</f>
        <v>0</v>
      </c>
      <c r="E432" s="4">
        <f t="array" ref="E432">INDEX(Sheet1!$B$2:$F$22000,SMALL(IF(Sheet1!$A$2:$A$22000=$A$1,ROW(Sheet1!$B$2:$B$22000)),ROW($A430:$F430))-1,4)</f>
        <v>0</v>
      </c>
      <c r="F432" s="4">
        <f t="array" ref="F432">INDEX(Sheet1!$B$2:$F$22000,SMALL(IF(Sheet1!$A$2:$A$22000=$A$1,ROW(Sheet1!$B$2:$B$22000)),ROW($A430:$F430))-1,5)</f>
        <v>0</v>
      </c>
      <c r="M432" s="9">
        <v>430</v>
      </c>
      <c r="N432" s="10">
        <f t="shared" si="41"/>
        <v>0</v>
      </c>
      <c r="O432" s="11">
        <f t="shared" si="42"/>
        <v>0</v>
      </c>
      <c r="P432" s="12">
        <f t="shared" si="43"/>
        <v>0</v>
      </c>
      <c r="Q432" s="13">
        <f t="shared" si="44"/>
        <v>0</v>
      </c>
      <c r="V432" s="14">
        <f t="shared" si="39"/>
        <v>0.83984375</v>
      </c>
      <c r="W432" s="10">
        <f t="shared" si="45"/>
        <v>0</v>
      </c>
      <c r="X432" s="11">
        <f t="shared" si="45"/>
        <v>0</v>
      </c>
      <c r="Y432" s="12">
        <f t="shared" si="45"/>
        <v>0</v>
      </c>
      <c r="Z432" s="13">
        <f t="shared" si="40"/>
        <v>0</v>
      </c>
    </row>
    <row r="433" spans="2:26" x14ac:dyDescent="0.25">
      <c r="B433" s="4">
        <v>431</v>
      </c>
      <c r="C433" s="4">
        <f t="array" ref="C433">INDEX(Sheet1!$B$2:$F$22000,SMALL(IF(Sheet1!$A$2:$A$22000=$A$1,ROW(Sheet1!$B$2:$B$22000)),ROW($A431:$F431))-1,2)</f>
        <v>0</v>
      </c>
      <c r="D433" s="4">
        <f t="array" ref="D433">INDEX(Sheet1!$B$2:$F$22000,SMALL(IF(Sheet1!$A$2:$A$22000=$A$1,ROW(Sheet1!$B$2:$B$22000)),ROW($A431:$F431))-1,3)</f>
        <v>0</v>
      </c>
      <c r="E433" s="4">
        <f t="array" ref="E433">INDEX(Sheet1!$B$2:$F$22000,SMALL(IF(Sheet1!$A$2:$A$22000=$A$1,ROW(Sheet1!$B$2:$B$22000)),ROW($A431:$F431))-1,4)</f>
        <v>0</v>
      </c>
      <c r="F433" s="4">
        <f t="array" ref="F433">INDEX(Sheet1!$B$2:$F$22000,SMALL(IF(Sheet1!$A$2:$A$22000=$A$1,ROW(Sheet1!$B$2:$B$22000)),ROW($A431:$F431))-1,5)</f>
        <v>0</v>
      </c>
      <c r="M433" s="9">
        <v>431</v>
      </c>
      <c r="N433" s="10">
        <f t="shared" si="41"/>
        <v>0</v>
      </c>
      <c r="O433" s="11">
        <f t="shared" si="42"/>
        <v>0</v>
      </c>
      <c r="P433" s="12">
        <f t="shared" si="43"/>
        <v>0</v>
      </c>
      <c r="Q433" s="13">
        <f t="shared" si="44"/>
        <v>0</v>
      </c>
      <c r="V433" s="14">
        <f t="shared" si="39"/>
        <v>0.841796875</v>
      </c>
      <c r="W433" s="10">
        <f t="shared" si="45"/>
        <v>0</v>
      </c>
      <c r="X433" s="11">
        <f t="shared" si="45"/>
        <v>0</v>
      </c>
      <c r="Y433" s="12">
        <f t="shared" si="45"/>
        <v>0</v>
      </c>
      <c r="Z433" s="13">
        <f t="shared" si="40"/>
        <v>0</v>
      </c>
    </row>
    <row r="434" spans="2:26" x14ac:dyDescent="0.25">
      <c r="B434" s="4">
        <v>432</v>
      </c>
      <c r="C434" s="4">
        <f t="array" ref="C434">INDEX(Sheet1!$B$2:$F$22000,SMALL(IF(Sheet1!$A$2:$A$22000=$A$1,ROW(Sheet1!$B$2:$B$22000)),ROW($A432:$F432))-1,2)</f>
        <v>0</v>
      </c>
      <c r="D434" s="4">
        <f t="array" ref="D434">INDEX(Sheet1!$B$2:$F$22000,SMALL(IF(Sheet1!$A$2:$A$22000=$A$1,ROW(Sheet1!$B$2:$B$22000)),ROW($A432:$F432))-1,3)</f>
        <v>0</v>
      </c>
      <c r="E434" s="4">
        <f t="array" ref="E434">INDEX(Sheet1!$B$2:$F$22000,SMALL(IF(Sheet1!$A$2:$A$22000=$A$1,ROW(Sheet1!$B$2:$B$22000)),ROW($A432:$F432))-1,4)</f>
        <v>0</v>
      </c>
      <c r="F434" s="4">
        <f t="array" ref="F434">INDEX(Sheet1!$B$2:$F$22000,SMALL(IF(Sheet1!$A$2:$A$22000=$A$1,ROW(Sheet1!$B$2:$B$22000)),ROW($A432:$F432))-1,5)</f>
        <v>0</v>
      </c>
      <c r="M434" s="9">
        <v>432</v>
      </c>
      <c r="N434" s="10">
        <f t="shared" si="41"/>
        <v>0</v>
      </c>
      <c r="O434" s="11">
        <f t="shared" si="42"/>
        <v>0</v>
      </c>
      <c r="P434" s="12">
        <f t="shared" si="43"/>
        <v>0</v>
      </c>
      <c r="Q434" s="13">
        <f t="shared" si="44"/>
        <v>0</v>
      </c>
      <c r="V434" s="14">
        <f t="shared" si="39"/>
        <v>0.84375</v>
      </c>
      <c r="W434" s="10">
        <f t="shared" si="45"/>
        <v>0</v>
      </c>
      <c r="X434" s="11">
        <f t="shared" si="45"/>
        <v>0</v>
      </c>
      <c r="Y434" s="12">
        <f t="shared" si="45"/>
        <v>0</v>
      </c>
      <c r="Z434" s="13">
        <f t="shared" si="40"/>
        <v>0</v>
      </c>
    </row>
    <row r="435" spans="2:26" x14ac:dyDescent="0.25">
      <c r="B435" s="4">
        <v>433</v>
      </c>
      <c r="C435" s="4">
        <f t="array" ref="C435">INDEX(Sheet1!$B$2:$F$22000,SMALL(IF(Sheet1!$A$2:$A$22000=$A$1,ROW(Sheet1!$B$2:$B$22000)),ROW($A433:$F433))-1,2)</f>
        <v>0</v>
      </c>
      <c r="D435" s="4">
        <f t="array" ref="D435">INDEX(Sheet1!$B$2:$F$22000,SMALL(IF(Sheet1!$A$2:$A$22000=$A$1,ROW(Sheet1!$B$2:$B$22000)),ROW($A433:$F433))-1,3)</f>
        <v>0</v>
      </c>
      <c r="E435" s="4">
        <f t="array" ref="E435">INDEX(Sheet1!$B$2:$F$22000,SMALL(IF(Sheet1!$A$2:$A$22000=$A$1,ROW(Sheet1!$B$2:$B$22000)),ROW($A433:$F433))-1,4)</f>
        <v>0</v>
      </c>
      <c r="F435" s="4">
        <f t="array" ref="F435">INDEX(Sheet1!$B$2:$F$22000,SMALL(IF(Sheet1!$A$2:$A$22000=$A$1,ROW(Sheet1!$B$2:$B$22000)),ROW($A433:$F433))-1,5)</f>
        <v>0</v>
      </c>
      <c r="M435" s="9">
        <v>433</v>
      </c>
      <c r="N435" s="10">
        <f t="shared" si="41"/>
        <v>0</v>
      </c>
      <c r="O435" s="11">
        <f t="shared" si="42"/>
        <v>0</v>
      </c>
      <c r="P435" s="12">
        <f t="shared" si="43"/>
        <v>0</v>
      </c>
      <c r="Q435" s="13">
        <f t="shared" si="44"/>
        <v>0</v>
      </c>
      <c r="V435" s="14">
        <f t="shared" si="39"/>
        <v>0.845703125</v>
      </c>
      <c r="W435" s="10">
        <f t="shared" si="45"/>
        <v>0</v>
      </c>
      <c r="X435" s="11">
        <f t="shared" si="45"/>
        <v>0</v>
      </c>
      <c r="Y435" s="12">
        <f t="shared" si="45"/>
        <v>0</v>
      </c>
      <c r="Z435" s="13">
        <f t="shared" si="40"/>
        <v>0</v>
      </c>
    </row>
    <row r="436" spans="2:26" x14ac:dyDescent="0.25">
      <c r="B436" s="4">
        <v>434</v>
      </c>
      <c r="C436" s="4">
        <f t="array" ref="C436">INDEX(Sheet1!$B$2:$F$22000,SMALL(IF(Sheet1!$A$2:$A$22000=$A$1,ROW(Sheet1!$B$2:$B$22000)),ROW($A434:$F434))-1,2)</f>
        <v>0</v>
      </c>
      <c r="D436" s="4">
        <f t="array" ref="D436">INDEX(Sheet1!$B$2:$F$22000,SMALL(IF(Sheet1!$A$2:$A$22000=$A$1,ROW(Sheet1!$B$2:$B$22000)),ROW($A434:$F434))-1,3)</f>
        <v>0</v>
      </c>
      <c r="E436" s="4">
        <f t="array" ref="E436">INDEX(Sheet1!$B$2:$F$22000,SMALL(IF(Sheet1!$A$2:$A$22000=$A$1,ROW(Sheet1!$B$2:$B$22000)),ROW($A434:$F434))-1,4)</f>
        <v>0</v>
      </c>
      <c r="F436" s="4">
        <f t="array" ref="F436">INDEX(Sheet1!$B$2:$F$22000,SMALL(IF(Sheet1!$A$2:$A$22000=$A$1,ROW(Sheet1!$B$2:$B$22000)),ROW($A434:$F434))-1,5)</f>
        <v>0</v>
      </c>
      <c r="M436" s="9">
        <v>434</v>
      </c>
      <c r="N436" s="10">
        <f t="shared" si="41"/>
        <v>0</v>
      </c>
      <c r="O436" s="11">
        <f t="shared" si="42"/>
        <v>0</v>
      </c>
      <c r="P436" s="12">
        <f t="shared" si="43"/>
        <v>0</v>
      </c>
      <c r="Q436" s="13">
        <f t="shared" si="44"/>
        <v>0</v>
      </c>
      <c r="V436" s="14">
        <f t="shared" si="39"/>
        <v>0.84765625</v>
      </c>
      <c r="W436" s="10">
        <f t="shared" si="45"/>
        <v>0</v>
      </c>
      <c r="X436" s="11">
        <f t="shared" si="45"/>
        <v>0</v>
      </c>
      <c r="Y436" s="12">
        <f t="shared" si="45"/>
        <v>0</v>
      </c>
      <c r="Z436" s="13">
        <f t="shared" si="40"/>
        <v>0</v>
      </c>
    </row>
    <row r="437" spans="2:26" x14ac:dyDescent="0.25">
      <c r="B437" s="4">
        <v>435</v>
      </c>
      <c r="C437" s="4">
        <f t="array" ref="C437">INDEX(Sheet1!$B$2:$F$22000,SMALL(IF(Sheet1!$A$2:$A$22000=$A$1,ROW(Sheet1!$B$2:$B$22000)),ROW($A435:$F435))-1,2)</f>
        <v>0</v>
      </c>
      <c r="D437" s="4">
        <f t="array" ref="D437">INDEX(Sheet1!$B$2:$F$22000,SMALL(IF(Sheet1!$A$2:$A$22000=$A$1,ROW(Sheet1!$B$2:$B$22000)),ROW($A435:$F435))-1,3)</f>
        <v>0</v>
      </c>
      <c r="E437" s="4">
        <f t="array" ref="E437">INDEX(Sheet1!$B$2:$F$22000,SMALL(IF(Sheet1!$A$2:$A$22000=$A$1,ROW(Sheet1!$B$2:$B$22000)),ROW($A435:$F435))-1,4)</f>
        <v>0</v>
      </c>
      <c r="F437" s="4">
        <f t="array" ref="F437">INDEX(Sheet1!$B$2:$F$22000,SMALL(IF(Sheet1!$A$2:$A$22000=$A$1,ROW(Sheet1!$B$2:$B$22000)),ROW($A435:$F435))-1,5)</f>
        <v>0</v>
      </c>
      <c r="M437" s="9">
        <v>435</v>
      </c>
      <c r="N437" s="10">
        <f t="shared" si="41"/>
        <v>0</v>
      </c>
      <c r="O437" s="11">
        <f t="shared" si="42"/>
        <v>0</v>
      </c>
      <c r="P437" s="12">
        <f t="shared" si="43"/>
        <v>0</v>
      </c>
      <c r="Q437" s="13">
        <f t="shared" si="44"/>
        <v>0</v>
      </c>
      <c r="V437" s="14">
        <f t="shared" si="39"/>
        <v>0.849609375</v>
      </c>
      <c r="W437" s="10">
        <f t="shared" si="45"/>
        <v>0</v>
      </c>
      <c r="X437" s="11">
        <f t="shared" si="45"/>
        <v>0</v>
      </c>
      <c r="Y437" s="12">
        <f t="shared" si="45"/>
        <v>0</v>
      </c>
      <c r="Z437" s="13">
        <f t="shared" si="40"/>
        <v>0</v>
      </c>
    </row>
    <row r="438" spans="2:26" x14ac:dyDescent="0.25">
      <c r="B438" s="4">
        <v>436</v>
      </c>
      <c r="C438" s="4">
        <f t="array" ref="C438">INDEX(Sheet1!$B$2:$F$22000,SMALL(IF(Sheet1!$A$2:$A$22000=$A$1,ROW(Sheet1!$B$2:$B$22000)),ROW($A436:$F436))-1,2)</f>
        <v>0</v>
      </c>
      <c r="D438" s="4">
        <f t="array" ref="D438">INDEX(Sheet1!$B$2:$F$22000,SMALL(IF(Sheet1!$A$2:$A$22000=$A$1,ROW(Sheet1!$B$2:$B$22000)),ROW($A436:$F436))-1,3)</f>
        <v>0</v>
      </c>
      <c r="E438" s="4">
        <f t="array" ref="E438">INDEX(Sheet1!$B$2:$F$22000,SMALL(IF(Sheet1!$A$2:$A$22000=$A$1,ROW(Sheet1!$B$2:$B$22000)),ROW($A436:$F436))-1,4)</f>
        <v>0</v>
      </c>
      <c r="F438" s="4">
        <f t="array" ref="F438">INDEX(Sheet1!$B$2:$F$22000,SMALL(IF(Sheet1!$A$2:$A$22000=$A$1,ROW(Sheet1!$B$2:$B$22000)),ROW($A436:$F436))-1,5)</f>
        <v>0</v>
      </c>
      <c r="M438" s="9">
        <v>436</v>
      </c>
      <c r="N438" s="10">
        <f t="shared" si="41"/>
        <v>0</v>
      </c>
      <c r="O438" s="11">
        <f t="shared" si="42"/>
        <v>0</v>
      </c>
      <c r="P438" s="12">
        <f t="shared" si="43"/>
        <v>0</v>
      </c>
      <c r="Q438" s="13">
        <f t="shared" si="44"/>
        <v>0</v>
      </c>
      <c r="V438" s="14">
        <f t="shared" si="39"/>
        <v>0.8515625</v>
      </c>
      <c r="W438" s="10">
        <f t="shared" si="45"/>
        <v>0</v>
      </c>
      <c r="X438" s="11">
        <f t="shared" si="45"/>
        <v>0</v>
      </c>
      <c r="Y438" s="12">
        <f t="shared" si="45"/>
        <v>0</v>
      </c>
      <c r="Z438" s="13">
        <f t="shared" si="40"/>
        <v>0</v>
      </c>
    </row>
    <row r="439" spans="2:26" x14ac:dyDescent="0.25">
      <c r="B439" s="4">
        <v>437</v>
      </c>
      <c r="C439" s="4">
        <f t="array" ref="C439">INDEX(Sheet1!$B$2:$F$22000,SMALL(IF(Sheet1!$A$2:$A$22000=$A$1,ROW(Sheet1!$B$2:$B$22000)),ROW($A437:$F437))-1,2)</f>
        <v>0</v>
      </c>
      <c r="D439" s="4">
        <f t="array" ref="D439">INDEX(Sheet1!$B$2:$F$22000,SMALL(IF(Sheet1!$A$2:$A$22000=$A$1,ROW(Sheet1!$B$2:$B$22000)),ROW($A437:$F437))-1,3)</f>
        <v>0</v>
      </c>
      <c r="E439" s="4">
        <f t="array" ref="E439">INDEX(Sheet1!$B$2:$F$22000,SMALL(IF(Sheet1!$A$2:$A$22000=$A$1,ROW(Sheet1!$B$2:$B$22000)),ROW($A437:$F437))-1,4)</f>
        <v>0</v>
      </c>
      <c r="F439" s="4">
        <f t="array" ref="F439">INDEX(Sheet1!$B$2:$F$22000,SMALL(IF(Sheet1!$A$2:$A$22000=$A$1,ROW(Sheet1!$B$2:$B$22000)),ROW($A437:$F437))-1,5)</f>
        <v>0</v>
      </c>
      <c r="M439" s="9">
        <v>437</v>
      </c>
      <c r="N439" s="10">
        <f t="shared" si="41"/>
        <v>0</v>
      </c>
      <c r="O439" s="11">
        <f t="shared" si="42"/>
        <v>0</v>
      </c>
      <c r="P439" s="12">
        <f t="shared" si="43"/>
        <v>0</v>
      </c>
      <c r="Q439" s="13">
        <f t="shared" si="44"/>
        <v>0</v>
      </c>
      <c r="V439" s="14">
        <f t="shared" si="39"/>
        <v>0.853515625</v>
      </c>
      <c r="W439" s="10">
        <f t="shared" si="45"/>
        <v>0</v>
      </c>
      <c r="X439" s="11">
        <f t="shared" si="45"/>
        <v>0</v>
      </c>
      <c r="Y439" s="12">
        <f t="shared" si="45"/>
        <v>0</v>
      </c>
      <c r="Z439" s="13">
        <f t="shared" si="40"/>
        <v>0</v>
      </c>
    </row>
    <row r="440" spans="2:26" x14ac:dyDescent="0.25">
      <c r="B440" s="4">
        <v>438</v>
      </c>
      <c r="C440" s="4">
        <f t="array" ref="C440">INDEX(Sheet1!$B$2:$F$22000,SMALL(IF(Sheet1!$A$2:$A$22000=$A$1,ROW(Sheet1!$B$2:$B$22000)),ROW($A438:$F438))-1,2)</f>
        <v>0</v>
      </c>
      <c r="D440" s="4">
        <f t="array" ref="D440">INDEX(Sheet1!$B$2:$F$22000,SMALL(IF(Sheet1!$A$2:$A$22000=$A$1,ROW(Sheet1!$B$2:$B$22000)),ROW($A438:$F438))-1,3)</f>
        <v>0</v>
      </c>
      <c r="E440" s="4">
        <f t="array" ref="E440">INDEX(Sheet1!$B$2:$F$22000,SMALL(IF(Sheet1!$A$2:$A$22000=$A$1,ROW(Sheet1!$B$2:$B$22000)),ROW($A438:$F438))-1,4)</f>
        <v>0</v>
      </c>
      <c r="F440" s="4">
        <f t="array" ref="F440">INDEX(Sheet1!$B$2:$F$22000,SMALL(IF(Sheet1!$A$2:$A$22000=$A$1,ROW(Sheet1!$B$2:$B$22000)),ROW($A438:$F438))-1,5)</f>
        <v>0</v>
      </c>
      <c r="M440" s="9">
        <v>438</v>
      </c>
      <c r="N440" s="10">
        <f t="shared" si="41"/>
        <v>0</v>
      </c>
      <c r="O440" s="11">
        <f t="shared" si="42"/>
        <v>0</v>
      </c>
      <c r="P440" s="12">
        <f t="shared" si="43"/>
        <v>0</v>
      </c>
      <c r="Q440" s="13">
        <f t="shared" si="44"/>
        <v>0</v>
      </c>
      <c r="V440" s="14">
        <f t="shared" si="39"/>
        <v>0.85546875</v>
      </c>
      <c r="W440" s="10">
        <f t="shared" si="45"/>
        <v>0</v>
      </c>
      <c r="X440" s="11">
        <f t="shared" si="45"/>
        <v>0</v>
      </c>
      <c r="Y440" s="12">
        <f t="shared" si="45"/>
        <v>0</v>
      </c>
      <c r="Z440" s="13">
        <f t="shared" si="40"/>
        <v>0</v>
      </c>
    </row>
    <row r="441" spans="2:26" x14ac:dyDescent="0.25">
      <c r="B441" s="4">
        <v>439</v>
      </c>
      <c r="C441" s="4">
        <f t="array" ref="C441">INDEX(Sheet1!$B$2:$F$22000,SMALL(IF(Sheet1!$A$2:$A$22000=$A$1,ROW(Sheet1!$B$2:$B$22000)),ROW($A439:$F439))-1,2)</f>
        <v>0</v>
      </c>
      <c r="D441" s="4">
        <f t="array" ref="D441">INDEX(Sheet1!$B$2:$F$22000,SMALL(IF(Sheet1!$A$2:$A$22000=$A$1,ROW(Sheet1!$B$2:$B$22000)),ROW($A439:$F439))-1,3)</f>
        <v>0</v>
      </c>
      <c r="E441" s="4">
        <f t="array" ref="E441">INDEX(Sheet1!$B$2:$F$22000,SMALL(IF(Sheet1!$A$2:$A$22000=$A$1,ROW(Sheet1!$B$2:$B$22000)),ROW($A439:$F439))-1,4)</f>
        <v>0</v>
      </c>
      <c r="F441" s="4">
        <f t="array" ref="F441">INDEX(Sheet1!$B$2:$F$22000,SMALL(IF(Sheet1!$A$2:$A$22000=$A$1,ROW(Sheet1!$B$2:$B$22000)),ROW($A439:$F439))-1,5)</f>
        <v>0</v>
      </c>
      <c r="M441" s="9">
        <v>439</v>
      </c>
      <c r="N441" s="10">
        <f t="shared" si="41"/>
        <v>0</v>
      </c>
      <c r="O441" s="11">
        <f t="shared" si="42"/>
        <v>0</v>
      </c>
      <c r="P441" s="12">
        <f t="shared" si="43"/>
        <v>0</v>
      </c>
      <c r="Q441" s="13">
        <f t="shared" si="44"/>
        <v>0</v>
      </c>
      <c r="V441" s="14">
        <f t="shared" si="39"/>
        <v>0.857421875</v>
      </c>
      <c r="W441" s="10">
        <f t="shared" si="45"/>
        <v>0</v>
      </c>
      <c r="X441" s="11">
        <f t="shared" si="45"/>
        <v>0</v>
      </c>
      <c r="Y441" s="12">
        <f t="shared" si="45"/>
        <v>0</v>
      </c>
      <c r="Z441" s="13">
        <f t="shared" si="40"/>
        <v>0</v>
      </c>
    </row>
    <row r="442" spans="2:26" x14ac:dyDescent="0.25">
      <c r="B442" s="4">
        <v>440</v>
      </c>
      <c r="C442" s="4">
        <f t="array" ref="C442">INDEX(Sheet1!$B$2:$F$22000,SMALL(IF(Sheet1!$A$2:$A$22000=$A$1,ROW(Sheet1!$B$2:$B$22000)),ROW($A440:$F440))-1,2)</f>
        <v>0</v>
      </c>
      <c r="D442" s="4">
        <f t="array" ref="D442">INDEX(Sheet1!$B$2:$F$22000,SMALL(IF(Sheet1!$A$2:$A$22000=$A$1,ROW(Sheet1!$B$2:$B$22000)),ROW($A440:$F440))-1,3)</f>
        <v>0</v>
      </c>
      <c r="E442" s="4">
        <f t="array" ref="E442">INDEX(Sheet1!$B$2:$F$22000,SMALL(IF(Sheet1!$A$2:$A$22000=$A$1,ROW(Sheet1!$B$2:$B$22000)),ROW($A440:$F440))-1,4)</f>
        <v>0</v>
      </c>
      <c r="F442" s="4">
        <f t="array" ref="F442">INDEX(Sheet1!$B$2:$F$22000,SMALL(IF(Sheet1!$A$2:$A$22000=$A$1,ROW(Sheet1!$B$2:$B$22000)),ROW($A440:$F440))-1,5)</f>
        <v>0</v>
      </c>
      <c r="M442" s="9">
        <v>440</v>
      </c>
      <c r="N442" s="10">
        <f t="shared" si="41"/>
        <v>0</v>
      </c>
      <c r="O442" s="11">
        <f t="shared" si="42"/>
        <v>0</v>
      </c>
      <c r="P442" s="12">
        <f t="shared" si="43"/>
        <v>0</v>
      </c>
      <c r="Q442" s="13">
        <f t="shared" si="44"/>
        <v>0</v>
      </c>
      <c r="V442" s="14">
        <f t="shared" si="39"/>
        <v>0.859375</v>
      </c>
      <c r="W442" s="10">
        <f t="shared" si="45"/>
        <v>0</v>
      </c>
      <c r="X442" s="11">
        <f t="shared" si="45"/>
        <v>0</v>
      </c>
      <c r="Y442" s="12">
        <f t="shared" si="45"/>
        <v>0</v>
      </c>
      <c r="Z442" s="13">
        <f t="shared" si="40"/>
        <v>0</v>
      </c>
    </row>
    <row r="443" spans="2:26" x14ac:dyDescent="0.25">
      <c r="B443" s="4">
        <v>441</v>
      </c>
      <c r="C443" s="4">
        <f t="array" ref="C443">INDEX(Sheet1!$B$2:$F$22000,SMALL(IF(Sheet1!$A$2:$A$22000=$A$1,ROW(Sheet1!$B$2:$B$22000)),ROW($A441:$F441))-1,2)</f>
        <v>0</v>
      </c>
      <c r="D443" s="4">
        <f t="array" ref="D443">INDEX(Sheet1!$B$2:$F$22000,SMALL(IF(Sheet1!$A$2:$A$22000=$A$1,ROW(Sheet1!$B$2:$B$22000)),ROW($A441:$F441))-1,3)</f>
        <v>0</v>
      </c>
      <c r="E443" s="4">
        <f t="array" ref="E443">INDEX(Sheet1!$B$2:$F$22000,SMALL(IF(Sheet1!$A$2:$A$22000=$A$1,ROW(Sheet1!$B$2:$B$22000)),ROW($A441:$F441))-1,4)</f>
        <v>0</v>
      </c>
      <c r="F443" s="4">
        <f t="array" ref="F443">INDEX(Sheet1!$B$2:$F$22000,SMALL(IF(Sheet1!$A$2:$A$22000=$A$1,ROW(Sheet1!$B$2:$B$22000)),ROW($A441:$F441))-1,5)</f>
        <v>0</v>
      </c>
      <c r="M443" s="9">
        <v>441</v>
      </c>
      <c r="N443" s="10">
        <f t="shared" si="41"/>
        <v>0</v>
      </c>
      <c r="O443" s="11">
        <f t="shared" si="42"/>
        <v>0</v>
      </c>
      <c r="P443" s="12">
        <f t="shared" si="43"/>
        <v>0</v>
      </c>
      <c r="Q443" s="13">
        <f t="shared" si="44"/>
        <v>0</v>
      </c>
      <c r="V443" s="14">
        <f t="shared" si="39"/>
        <v>0.861328125</v>
      </c>
      <c r="W443" s="10">
        <f t="shared" si="45"/>
        <v>0</v>
      </c>
      <c r="X443" s="11">
        <f t="shared" si="45"/>
        <v>0</v>
      </c>
      <c r="Y443" s="12">
        <f t="shared" si="45"/>
        <v>0</v>
      </c>
      <c r="Z443" s="13">
        <f t="shared" si="40"/>
        <v>0</v>
      </c>
    </row>
    <row r="444" spans="2:26" x14ac:dyDescent="0.25">
      <c r="B444" s="4">
        <v>442</v>
      </c>
      <c r="C444" s="4">
        <f t="array" ref="C444">INDEX(Sheet1!$B$2:$F$22000,SMALL(IF(Sheet1!$A$2:$A$22000=$A$1,ROW(Sheet1!$B$2:$B$22000)),ROW($A442:$F442))-1,2)</f>
        <v>0</v>
      </c>
      <c r="D444" s="4">
        <f t="array" ref="D444">INDEX(Sheet1!$B$2:$F$22000,SMALL(IF(Sheet1!$A$2:$A$22000=$A$1,ROW(Sheet1!$B$2:$B$22000)),ROW($A442:$F442))-1,3)</f>
        <v>0</v>
      </c>
      <c r="E444" s="4">
        <f t="array" ref="E444">INDEX(Sheet1!$B$2:$F$22000,SMALL(IF(Sheet1!$A$2:$A$22000=$A$1,ROW(Sheet1!$B$2:$B$22000)),ROW($A442:$F442))-1,4)</f>
        <v>0</v>
      </c>
      <c r="F444" s="4">
        <f t="array" ref="F444">INDEX(Sheet1!$B$2:$F$22000,SMALL(IF(Sheet1!$A$2:$A$22000=$A$1,ROW(Sheet1!$B$2:$B$22000)),ROW($A442:$F442))-1,5)</f>
        <v>0</v>
      </c>
      <c r="M444" s="9">
        <v>442</v>
      </c>
      <c r="N444" s="10">
        <f t="shared" si="41"/>
        <v>0</v>
      </c>
      <c r="O444" s="11">
        <f t="shared" si="42"/>
        <v>0</v>
      </c>
      <c r="P444" s="12">
        <f t="shared" si="43"/>
        <v>0</v>
      </c>
      <c r="Q444" s="13">
        <f t="shared" si="44"/>
        <v>0</v>
      </c>
      <c r="V444" s="14">
        <f t="shared" si="39"/>
        <v>0.86328125</v>
      </c>
      <c r="W444" s="10">
        <f t="shared" si="45"/>
        <v>0</v>
      </c>
      <c r="X444" s="11">
        <f t="shared" si="45"/>
        <v>0</v>
      </c>
      <c r="Y444" s="12">
        <f t="shared" si="45"/>
        <v>0</v>
      </c>
      <c r="Z444" s="13">
        <f t="shared" si="40"/>
        <v>0</v>
      </c>
    </row>
    <row r="445" spans="2:26" x14ac:dyDescent="0.25">
      <c r="B445" s="4">
        <v>443</v>
      </c>
      <c r="C445" s="4">
        <f t="array" ref="C445">INDEX(Sheet1!$B$2:$F$22000,SMALL(IF(Sheet1!$A$2:$A$22000=$A$1,ROW(Sheet1!$B$2:$B$22000)),ROW($A443:$F443))-1,2)</f>
        <v>0</v>
      </c>
      <c r="D445" s="4">
        <f t="array" ref="D445">INDEX(Sheet1!$B$2:$F$22000,SMALL(IF(Sheet1!$A$2:$A$22000=$A$1,ROW(Sheet1!$B$2:$B$22000)),ROW($A443:$F443))-1,3)</f>
        <v>0</v>
      </c>
      <c r="E445" s="4">
        <f t="array" ref="E445">INDEX(Sheet1!$B$2:$F$22000,SMALL(IF(Sheet1!$A$2:$A$22000=$A$1,ROW(Sheet1!$B$2:$B$22000)),ROW($A443:$F443))-1,4)</f>
        <v>0</v>
      </c>
      <c r="F445" s="4">
        <f t="array" ref="F445">INDEX(Sheet1!$B$2:$F$22000,SMALL(IF(Sheet1!$A$2:$A$22000=$A$1,ROW(Sheet1!$B$2:$B$22000)),ROW($A443:$F443))-1,5)</f>
        <v>0</v>
      </c>
      <c r="M445" s="9">
        <v>443</v>
      </c>
      <c r="N445" s="10">
        <f t="shared" si="41"/>
        <v>0</v>
      </c>
      <c r="O445" s="11">
        <f t="shared" si="42"/>
        <v>0</v>
      </c>
      <c r="P445" s="12">
        <f t="shared" si="43"/>
        <v>0</v>
      </c>
      <c r="Q445" s="13">
        <f t="shared" si="44"/>
        <v>0</v>
      </c>
      <c r="V445" s="14">
        <f t="shared" si="39"/>
        <v>0.865234375</v>
      </c>
      <c r="W445" s="10">
        <f t="shared" si="45"/>
        <v>0</v>
      </c>
      <c r="X445" s="11">
        <f t="shared" si="45"/>
        <v>0</v>
      </c>
      <c r="Y445" s="12">
        <f t="shared" si="45"/>
        <v>0</v>
      </c>
      <c r="Z445" s="13">
        <f t="shared" si="40"/>
        <v>0</v>
      </c>
    </row>
    <row r="446" spans="2:26" x14ac:dyDescent="0.25">
      <c r="B446" s="4">
        <v>444</v>
      </c>
      <c r="C446" s="4">
        <f t="array" ref="C446">INDEX(Sheet1!$B$2:$F$22000,SMALL(IF(Sheet1!$A$2:$A$22000=$A$1,ROW(Sheet1!$B$2:$B$22000)),ROW($A444:$F444))-1,2)</f>
        <v>0</v>
      </c>
      <c r="D446" s="4">
        <f t="array" ref="D446">INDEX(Sheet1!$B$2:$F$22000,SMALL(IF(Sheet1!$A$2:$A$22000=$A$1,ROW(Sheet1!$B$2:$B$22000)),ROW($A444:$F444))-1,3)</f>
        <v>0</v>
      </c>
      <c r="E446" s="4">
        <f t="array" ref="E446">INDEX(Sheet1!$B$2:$F$22000,SMALL(IF(Sheet1!$A$2:$A$22000=$A$1,ROW(Sheet1!$B$2:$B$22000)),ROW($A444:$F444))-1,4)</f>
        <v>0</v>
      </c>
      <c r="F446" s="4">
        <f t="array" ref="F446">INDEX(Sheet1!$B$2:$F$22000,SMALL(IF(Sheet1!$A$2:$A$22000=$A$1,ROW(Sheet1!$B$2:$B$22000)),ROW($A444:$F444))-1,5)</f>
        <v>0</v>
      </c>
      <c r="M446" s="9">
        <v>444</v>
      </c>
      <c r="N446" s="10">
        <f t="shared" si="41"/>
        <v>0</v>
      </c>
      <c r="O446" s="11">
        <f t="shared" si="42"/>
        <v>0</v>
      </c>
      <c r="P446" s="12">
        <f t="shared" si="43"/>
        <v>0</v>
      </c>
      <c r="Q446" s="13">
        <f t="shared" si="44"/>
        <v>0</v>
      </c>
      <c r="V446" s="14">
        <f t="shared" si="39"/>
        <v>0.8671875</v>
      </c>
      <c r="W446" s="10">
        <f t="shared" si="45"/>
        <v>0</v>
      </c>
      <c r="X446" s="11">
        <f t="shared" si="45"/>
        <v>0</v>
      </c>
      <c r="Y446" s="12">
        <f t="shared" si="45"/>
        <v>0</v>
      </c>
      <c r="Z446" s="13">
        <f t="shared" si="40"/>
        <v>0</v>
      </c>
    </row>
    <row r="447" spans="2:26" x14ac:dyDescent="0.25">
      <c r="B447" s="4">
        <v>445</v>
      </c>
      <c r="C447" s="4">
        <f t="array" ref="C447">INDEX(Sheet1!$B$2:$F$22000,SMALL(IF(Sheet1!$A$2:$A$22000=$A$1,ROW(Sheet1!$B$2:$B$22000)),ROW($A445:$F445))-1,2)</f>
        <v>0</v>
      </c>
      <c r="D447" s="4">
        <f t="array" ref="D447">INDEX(Sheet1!$B$2:$F$22000,SMALL(IF(Sheet1!$A$2:$A$22000=$A$1,ROW(Sheet1!$B$2:$B$22000)),ROW($A445:$F445))-1,3)</f>
        <v>0</v>
      </c>
      <c r="E447" s="4">
        <f t="array" ref="E447">INDEX(Sheet1!$B$2:$F$22000,SMALL(IF(Sheet1!$A$2:$A$22000=$A$1,ROW(Sheet1!$B$2:$B$22000)),ROW($A445:$F445))-1,4)</f>
        <v>0</v>
      </c>
      <c r="F447" s="4">
        <f t="array" ref="F447">INDEX(Sheet1!$B$2:$F$22000,SMALL(IF(Sheet1!$A$2:$A$22000=$A$1,ROW(Sheet1!$B$2:$B$22000)),ROW($A445:$F445))-1,5)</f>
        <v>0</v>
      </c>
      <c r="M447" s="9">
        <v>445</v>
      </c>
      <c r="N447" s="10">
        <f t="shared" si="41"/>
        <v>0</v>
      </c>
      <c r="O447" s="11">
        <f t="shared" si="42"/>
        <v>0</v>
      </c>
      <c r="P447" s="12">
        <f t="shared" si="43"/>
        <v>0</v>
      </c>
      <c r="Q447" s="13">
        <f t="shared" si="44"/>
        <v>0</v>
      </c>
      <c r="V447" s="14">
        <f t="shared" si="39"/>
        <v>0.869140625</v>
      </c>
      <c r="W447" s="10">
        <f t="shared" si="45"/>
        <v>0</v>
      </c>
      <c r="X447" s="11">
        <f t="shared" si="45"/>
        <v>0</v>
      </c>
      <c r="Y447" s="12">
        <f t="shared" si="45"/>
        <v>0</v>
      </c>
      <c r="Z447" s="13">
        <f t="shared" si="40"/>
        <v>0</v>
      </c>
    </row>
    <row r="448" spans="2:26" x14ac:dyDescent="0.25">
      <c r="B448" s="4">
        <v>446</v>
      </c>
      <c r="C448" s="4">
        <f t="array" ref="C448">INDEX(Sheet1!$B$2:$F$22000,SMALL(IF(Sheet1!$A$2:$A$22000=$A$1,ROW(Sheet1!$B$2:$B$22000)),ROW($A446:$F446))-1,2)</f>
        <v>0</v>
      </c>
      <c r="D448" s="4">
        <f t="array" ref="D448">INDEX(Sheet1!$B$2:$F$22000,SMALL(IF(Sheet1!$A$2:$A$22000=$A$1,ROW(Sheet1!$B$2:$B$22000)),ROW($A446:$F446))-1,3)</f>
        <v>0</v>
      </c>
      <c r="E448" s="4">
        <f t="array" ref="E448">INDEX(Sheet1!$B$2:$F$22000,SMALL(IF(Sheet1!$A$2:$A$22000=$A$1,ROW(Sheet1!$B$2:$B$22000)),ROW($A446:$F446))-1,4)</f>
        <v>0</v>
      </c>
      <c r="F448" s="4">
        <f t="array" ref="F448">INDEX(Sheet1!$B$2:$F$22000,SMALL(IF(Sheet1!$A$2:$A$22000=$A$1,ROW(Sheet1!$B$2:$B$22000)),ROW($A446:$F446))-1,5)</f>
        <v>0</v>
      </c>
      <c r="M448" s="9">
        <v>446</v>
      </c>
      <c r="N448" s="10">
        <f t="shared" si="41"/>
        <v>0</v>
      </c>
      <c r="O448" s="11">
        <f t="shared" si="42"/>
        <v>0</v>
      </c>
      <c r="P448" s="12">
        <f t="shared" si="43"/>
        <v>0</v>
      </c>
      <c r="Q448" s="13">
        <f t="shared" si="44"/>
        <v>0</v>
      </c>
      <c r="V448" s="14">
        <f t="shared" si="39"/>
        <v>0.87109375</v>
      </c>
      <c r="W448" s="10">
        <f t="shared" si="45"/>
        <v>0</v>
      </c>
      <c r="X448" s="11">
        <f t="shared" si="45"/>
        <v>0</v>
      </c>
      <c r="Y448" s="12">
        <f t="shared" si="45"/>
        <v>0</v>
      </c>
      <c r="Z448" s="13">
        <f t="shared" si="40"/>
        <v>0</v>
      </c>
    </row>
    <row r="449" spans="2:26" x14ac:dyDescent="0.25">
      <c r="B449" s="4">
        <v>447</v>
      </c>
      <c r="C449" s="4">
        <f t="array" ref="C449">INDEX(Sheet1!$B$2:$F$22000,SMALL(IF(Sheet1!$A$2:$A$22000=$A$1,ROW(Sheet1!$B$2:$B$22000)),ROW($A447:$F447))-1,2)</f>
        <v>0</v>
      </c>
      <c r="D449" s="4">
        <f t="array" ref="D449">INDEX(Sheet1!$B$2:$F$22000,SMALL(IF(Sheet1!$A$2:$A$22000=$A$1,ROW(Sheet1!$B$2:$B$22000)),ROW($A447:$F447))-1,3)</f>
        <v>0</v>
      </c>
      <c r="E449" s="4">
        <f t="array" ref="E449">INDEX(Sheet1!$B$2:$F$22000,SMALL(IF(Sheet1!$A$2:$A$22000=$A$1,ROW(Sheet1!$B$2:$B$22000)),ROW($A447:$F447))-1,4)</f>
        <v>0</v>
      </c>
      <c r="F449" s="4">
        <f t="array" ref="F449">INDEX(Sheet1!$B$2:$F$22000,SMALL(IF(Sheet1!$A$2:$A$22000=$A$1,ROW(Sheet1!$B$2:$B$22000)),ROW($A447:$F447))-1,5)</f>
        <v>0</v>
      </c>
      <c r="M449" s="9">
        <v>447</v>
      </c>
      <c r="N449" s="10">
        <f t="shared" si="41"/>
        <v>0</v>
      </c>
      <c r="O449" s="11">
        <f t="shared" si="42"/>
        <v>0</v>
      </c>
      <c r="P449" s="12">
        <f t="shared" si="43"/>
        <v>0</v>
      </c>
      <c r="Q449" s="13">
        <f t="shared" si="44"/>
        <v>0</v>
      </c>
      <c r="V449" s="14">
        <f t="shared" si="39"/>
        <v>0.873046875</v>
      </c>
      <c r="W449" s="10">
        <f t="shared" si="45"/>
        <v>0</v>
      </c>
      <c r="X449" s="11">
        <f t="shared" si="45"/>
        <v>0</v>
      </c>
      <c r="Y449" s="12">
        <f t="shared" si="45"/>
        <v>0</v>
      </c>
      <c r="Z449" s="13">
        <f t="shared" si="40"/>
        <v>0</v>
      </c>
    </row>
    <row r="450" spans="2:26" x14ac:dyDescent="0.25">
      <c r="B450" s="4">
        <v>448</v>
      </c>
      <c r="C450" s="4">
        <f t="array" ref="C450">INDEX(Sheet1!$B$2:$F$22000,SMALL(IF(Sheet1!$A$2:$A$22000=$A$1,ROW(Sheet1!$B$2:$B$22000)),ROW($A448:$F448))-1,2)</f>
        <v>0</v>
      </c>
      <c r="D450" s="4">
        <f t="array" ref="D450">INDEX(Sheet1!$B$2:$F$22000,SMALL(IF(Sheet1!$A$2:$A$22000=$A$1,ROW(Sheet1!$B$2:$B$22000)),ROW($A448:$F448))-1,3)</f>
        <v>0</v>
      </c>
      <c r="E450" s="4">
        <f t="array" ref="E450">INDEX(Sheet1!$B$2:$F$22000,SMALL(IF(Sheet1!$A$2:$A$22000=$A$1,ROW(Sheet1!$B$2:$B$22000)),ROW($A448:$F448))-1,4)</f>
        <v>0</v>
      </c>
      <c r="F450" s="4">
        <f t="array" ref="F450">INDEX(Sheet1!$B$2:$F$22000,SMALL(IF(Sheet1!$A$2:$A$22000=$A$1,ROW(Sheet1!$B$2:$B$22000)),ROW($A448:$F448))-1,5)</f>
        <v>0</v>
      </c>
      <c r="M450" s="9">
        <v>448</v>
      </c>
      <c r="N450" s="10">
        <f t="shared" si="41"/>
        <v>0</v>
      </c>
      <c r="O450" s="11">
        <f t="shared" si="42"/>
        <v>0</v>
      </c>
      <c r="P450" s="12">
        <f t="shared" si="43"/>
        <v>0</v>
      </c>
      <c r="Q450" s="13">
        <f t="shared" si="44"/>
        <v>0</v>
      </c>
      <c r="V450" s="14">
        <f t="shared" ref="V450:V513" si="46">$M450*(1/512)</f>
        <v>0.875</v>
      </c>
      <c r="W450" s="10">
        <f t="shared" si="45"/>
        <v>0</v>
      </c>
      <c r="X450" s="11">
        <f t="shared" si="45"/>
        <v>0</v>
      </c>
      <c r="Y450" s="12">
        <f t="shared" si="45"/>
        <v>0</v>
      </c>
      <c r="Z450" s="13">
        <f t="shared" si="40"/>
        <v>0</v>
      </c>
    </row>
    <row r="451" spans="2:26" x14ac:dyDescent="0.25">
      <c r="B451" s="4">
        <v>449</v>
      </c>
      <c r="C451" s="4">
        <f t="array" ref="C451">INDEX(Sheet1!$B$2:$F$22000,SMALL(IF(Sheet1!$A$2:$A$22000=$A$1,ROW(Sheet1!$B$2:$B$22000)),ROW($A449:$F449))-1,2)</f>
        <v>0</v>
      </c>
      <c r="D451" s="4">
        <f t="array" ref="D451">INDEX(Sheet1!$B$2:$F$22000,SMALL(IF(Sheet1!$A$2:$A$22000=$A$1,ROW(Sheet1!$B$2:$B$22000)),ROW($A449:$F449))-1,3)</f>
        <v>0</v>
      </c>
      <c r="E451" s="4">
        <f t="array" ref="E451">INDEX(Sheet1!$B$2:$F$22000,SMALL(IF(Sheet1!$A$2:$A$22000=$A$1,ROW(Sheet1!$B$2:$B$22000)),ROW($A449:$F449))-1,4)</f>
        <v>0</v>
      </c>
      <c r="F451" s="4">
        <f t="array" ref="F451">INDEX(Sheet1!$B$2:$F$22000,SMALL(IF(Sheet1!$A$2:$A$22000=$A$1,ROW(Sheet1!$B$2:$B$22000)),ROW($A449:$F449))-1,5)</f>
        <v>0</v>
      </c>
      <c r="M451" s="9">
        <v>449</v>
      </c>
      <c r="N451" s="10">
        <f t="shared" si="41"/>
        <v>0</v>
      </c>
      <c r="O451" s="11">
        <f t="shared" si="42"/>
        <v>0</v>
      </c>
      <c r="P451" s="12">
        <f t="shared" si="43"/>
        <v>0</v>
      </c>
      <c r="Q451" s="13">
        <f t="shared" si="44"/>
        <v>0</v>
      </c>
      <c r="V451" s="14">
        <f t="shared" si="46"/>
        <v>0.876953125</v>
      </c>
      <c r="W451" s="10">
        <f t="shared" si="45"/>
        <v>0</v>
      </c>
      <c r="X451" s="11">
        <f t="shared" si="45"/>
        <v>0</v>
      </c>
      <c r="Y451" s="12">
        <f t="shared" si="45"/>
        <v>0</v>
      </c>
      <c r="Z451" s="13">
        <f t="shared" si="45"/>
        <v>0</v>
      </c>
    </row>
    <row r="452" spans="2:26" x14ac:dyDescent="0.25">
      <c r="B452" s="4">
        <v>450</v>
      </c>
      <c r="C452" s="4">
        <f t="array" ref="C452">INDEX(Sheet1!$B$2:$F$22000,SMALL(IF(Sheet1!$A$2:$A$22000=$A$1,ROW(Sheet1!$B$2:$B$22000)),ROW($A450:$F450))-1,2)</f>
        <v>0</v>
      </c>
      <c r="D452" s="4">
        <f t="array" ref="D452">INDEX(Sheet1!$B$2:$F$22000,SMALL(IF(Sheet1!$A$2:$A$22000=$A$1,ROW(Sheet1!$B$2:$B$22000)),ROW($A450:$F450))-1,3)</f>
        <v>0</v>
      </c>
      <c r="E452" s="4">
        <f t="array" ref="E452">INDEX(Sheet1!$B$2:$F$22000,SMALL(IF(Sheet1!$A$2:$A$22000=$A$1,ROW(Sheet1!$B$2:$B$22000)),ROW($A450:$F450))-1,4)</f>
        <v>0</v>
      </c>
      <c r="F452" s="4">
        <f t="array" ref="F452">INDEX(Sheet1!$B$2:$F$22000,SMALL(IF(Sheet1!$A$2:$A$22000=$A$1,ROW(Sheet1!$B$2:$B$22000)),ROW($A450:$F450))-1,5)</f>
        <v>0</v>
      </c>
      <c r="M452" s="9">
        <v>450</v>
      </c>
      <c r="N452" s="10">
        <f t="shared" ref="N452:N499" si="47">C452</f>
        <v>0</v>
      </c>
      <c r="O452" s="11">
        <f t="shared" ref="O452:O499" si="48">D452</f>
        <v>0</v>
      </c>
      <c r="P452" s="12">
        <f t="shared" ref="P452:P499" si="49">E452</f>
        <v>0</v>
      </c>
      <c r="Q452" s="13">
        <f t="shared" ref="Q452:Q499" si="50">F452</f>
        <v>0</v>
      </c>
      <c r="V452" s="14">
        <f t="shared" si="46"/>
        <v>0.87890625</v>
      </c>
      <c r="W452" s="10">
        <f t="shared" ref="W452:Z513" si="51">IMABS(R452)</f>
        <v>0</v>
      </c>
      <c r="X452" s="11">
        <f t="shared" si="51"/>
        <v>0</v>
      </c>
      <c r="Y452" s="12">
        <f t="shared" si="51"/>
        <v>0</v>
      </c>
      <c r="Z452" s="13">
        <f t="shared" si="51"/>
        <v>0</v>
      </c>
    </row>
    <row r="453" spans="2:26" x14ac:dyDescent="0.25">
      <c r="B453" s="4">
        <v>451</v>
      </c>
      <c r="C453" s="4">
        <f t="array" ref="C453">INDEX(Sheet1!$B$2:$F$22000,SMALL(IF(Sheet1!$A$2:$A$22000=$A$1,ROW(Sheet1!$B$2:$B$22000)),ROW($A451:$F451))-1,2)</f>
        <v>0</v>
      </c>
      <c r="D453" s="4">
        <f t="array" ref="D453">INDEX(Sheet1!$B$2:$F$22000,SMALL(IF(Sheet1!$A$2:$A$22000=$A$1,ROW(Sheet1!$B$2:$B$22000)),ROW($A451:$F451))-1,3)</f>
        <v>0</v>
      </c>
      <c r="E453" s="4">
        <f t="array" ref="E453">INDEX(Sheet1!$B$2:$F$22000,SMALL(IF(Sheet1!$A$2:$A$22000=$A$1,ROW(Sheet1!$B$2:$B$22000)),ROW($A451:$F451))-1,4)</f>
        <v>0</v>
      </c>
      <c r="F453" s="4">
        <f t="array" ref="F453">INDEX(Sheet1!$B$2:$F$22000,SMALL(IF(Sheet1!$A$2:$A$22000=$A$1,ROW(Sheet1!$B$2:$B$22000)),ROW($A451:$F451))-1,5)</f>
        <v>0</v>
      </c>
      <c r="M453" s="9">
        <v>451</v>
      </c>
      <c r="N453" s="10">
        <f t="shared" si="47"/>
        <v>0</v>
      </c>
      <c r="O453" s="11">
        <f t="shared" si="48"/>
        <v>0</v>
      </c>
      <c r="P453" s="12">
        <f t="shared" si="49"/>
        <v>0</v>
      </c>
      <c r="Q453" s="13">
        <f t="shared" si="50"/>
        <v>0</v>
      </c>
      <c r="V453" s="14">
        <f t="shared" si="46"/>
        <v>0.880859375</v>
      </c>
      <c r="W453" s="10">
        <f t="shared" si="51"/>
        <v>0</v>
      </c>
      <c r="X453" s="11">
        <f t="shared" si="51"/>
        <v>0</v>
      </c>
      <c r="Y453" s="12">
        <f t="shared" si="51"/>
        <v>0</v>
      </c>
      <c r="Z453" s="13">
        <f t="shared" si="51"/>
        <v>0</v>
      </c>
    </row>
    <row r="454" spans="2:26" x14ac:dyDescent="0.25">
      <c r="B454" s="4">
        <v>452</v>
      </c>
      <c r="C454" s="4">
        <f t="array" ref="C454">INDEX(Sheet1!$B$2:$F$22000,SMALL(IF(Sheet1!$A$2:$A$22000=$A$1,ROW(Sheet1!$B$2:$B$22000)),ROW($A452:$F452))-1,2)</f>
        <v>0</v>
      </c>
      <c r="D454" s="4">
        <f t="array" ref="D454">INDEX(Sheet1!$B$2:$F$22000,SMALL(IF(Sheet1!$A$2:$A$22000=$A$1,ROW(Sheet1!$B$2:$B$22000)),ROW($A452:$F452))-1,3)</f>
        <v>0</v>
      </c>
      <c r="E454" s="4">
        <f t="array" ref="E454">INDEX(Sheet1!$B$2:$F$22000,SMALL(IF(Sheet1!$A$2:$A$22000=$A$1,ROW(Sheet1!$B$2:$B$22000)),ROW($A452:$F452))-1,4)</f>
        <v>0</v>
      </c>
      <c r="F454" s="4">
        <f t="array" ref="F454">INDEX(Sheet1!$B$2:$F$22000,SMALL(IF(Sheet1!$A$2:$A$22000=$A$1,ROW(Sheet1!$B$2:$B$22000)),ROW($A452:$F452))-1,5)</f>
        <v>0</v>
      </c>
      <c r="M454" s="9">
        <v>452</v>
      </c>
      <c r="N454" s="10">
        <f t="shared" si="47"/>
        <v>0</v>
      </c>
      <c r="O454" s="11">
        <f t="shared" si="48"/>
        <v>0</v>
      </c>
      <c r="P454" s="12">
        <f t="shared" si="49"/>
        <v>0</v>
      </c>
      <c r="Q454" s="13">
        <f t="shared" si="50"/>
        <v>0</v>
      </c>
      <c r="V454" s="14">
        <f t="shared" si="46"/>
        <v>0.8828125</v>
      </c>
      <c r="W454" s="10">
        <f t="shared" si="51"/>
        <v>0</v>
      </c>
      <c r="X454" s="11">
        <f t="shared" si="51"/>
        <v>0</v>
      </c>
      <c r="Y454" s="12">
        <f t="shared" si="51"/>
        <v>0</v>
      </c>
      <c r="Z454" s="13">
        <f t="shared" si="51"/>
        <v>0</v>
      </c>
    </row>
    <row r="455" spans="2:26" x14ac:dyDescent="0.25">
      <c r="B455" s="4">
        <v>453</v>
      </c>
      <c r="C455" s="4">
        <f t="array" ref="C455">INDEX(Sheet1!$B$2:$F$22000,SMALL(IF(Sheet1!$A$2:$A$22000=$A$1,ROW(Sheet1!$B$2:$B$22000)),ROW($A453:$F453))-1,2)</f>
        <v>0</v>
      </c>
      <c r="D455" s="4">
        <f t="array" ref="D455">INDEX(Sheet1!$B$2:$F$22000,SMALL(IF(Sheet1!$A$2:$A$22000=$A$1,ROW(Sheet1!$B$2:$B$22000)),ROW($A453:$F453))-1,3)</f>
        <v>0</v>
      </c>
      <c r="E455" s="4">
        <f t="array" ref="E455">INDEX(Sheet1!$B$2:$F$22000,SMALL(IF(Sheet1!$A$2:$A$22000=$A$1,ROW(Sheet1!$B$2:$B$22000)),ROW($A453:$F453))-1,4)</f>
        <v>0</v>
      </c>
      <c r="F455" s="4">
        <f t="array" ref="F455">INDEX(Sheet1!$B$2:$F$22000,SMALL(IF(Sheet1!$A$2:$A$22000=$A$1,ROW(Sheet1!$B$2:$B$22000)),ROW($A453:$F453))-1,5)</f>
        <v>0</v>
      </c>
      <c r="M455" s="9">
        <v>453</v>
      </c>
      <c r="N455" s="10">
        <f t="shared" si="47"/>
        <v>0</v>
      </c>
      <c r="O455" s="11">
        <f t="shared" si="48"/>
        <v>0</v>
      </c>
      <c r="P455" s="12">
        <f t="shared" si="49"/>
        <v>0</v>
      </c>
      <c r="Q455" s="13">
        <f t="shared" si="50"/>
        <v>0</v>
      </c>
      <c r="V455" s="14">
        <f t="shared" si="46"/>
        <v>0.884765625</v>
      </c>
      <c r="W455" s="10">
        <f t="shared" si="51"/>
        <v>0</v>
      </c>
      <c r="X455" s="11">
        <f t="shared" si="51"/>
        <v>0</v>
      </c>
      <c r="Y455" s="12">
        <f t="shared" si="51"/>
        <v>0</v>
      </c>
      <c r="Z455" s="13">
        <f t="shared" si="51"/>
        <v>0</v>
      </c>
    </row>
    <row r="456" spans="2:26" x14ac:dyDescent="0.25">
      <c r="B456" s="4">
        <v>454</v>
      </c>
      <c r="C456" s="4">
        <f t="array" ref="C456">INDEX(Sheet1!$B$2:$F$22000,SMALL(IF(Sheet1!$A$2:$A$22000=$A$1,ROW(Sheet1!$B$2:$B$22000)),ROW($A454:$F454))-1,2)</f>
        <v>0</v>
      </c>
      <c r="D456" s="4">
        <f t="array" ref="D456">INDEX(Sheet1!$B$2:$F$22000,SMALL(IF(Sheet1!$A$2:$A$22000=$A$1,ROW(Sheet1!$B$2:$B$22000)),ROW($A454:$F454))-1,3)</f>
        <v>0</v>
      </c>
      <c r="E456" s="4">
        <f t="array" ref="E456">INDEX(Sheet1!$B$2:$F$22000,SMALL(IF(Sheet1!$A$2:$A$22000=$A$1,ROW(Sheet1!$B$2:$B$22000)),ROW($A454:$F454))-1,4)</f>
        <v>0</v>
      </c>
      <c r="F456" s="4">
        <f t="array" ref="F456">INDEX(Sheet1!$B$2:$F$22000,SMALL(IF(Sheet1!$A$2:$A$22000=$A$1,ROW(Sheet1!$B$2:$B$22000)),ROW($A454:$F454))-1,5)</f>
        <v>0</v>
      </c>
      <c r="M456" s="9">
        <v>454</v>
      </c>
      <c r="N456" s="10">
        <f t="shared" si="47"/>
        <v>0</v>
      </c>
      <c r="O456" s="11">
        <f t="shared" si="48"/>
        <v>0</v>
      </c>
      <c r="P456" s="12">
        <f t="shared" si="49"/>
        <v>0</v>
      </c>
      <c r="Q456" s="13">
        <f t="shared" si="50"/>
        <v>0</v>
      </c>
      <c r="V456" s="14">
        <f t="shared" si="46"/>
        <v>0.88671875</v>
      </c>
      <c r="W456" s="10">
        <f t="shared" si="51"/>
        <v>0</v>
      </c>
      <c r="X456" s="11">
        <f t="shared" si="51"/>
        <v>0</v>
      </c>
      <c r="Y456" s="12">
        <f t="shared" si="51"/>
        <v>0</v>
      </c>
      <c r="Z456" s="13">
        <f t="shared" si="51"/>
        <v>0</v>
      </c>
    </row>
    <row r="457" spans="2:26" x14ac:dyDescent="0.25">
      <c r="B457" s="4">
        <v>455</v>
      </c>
      <c r="C457" s="4">
        <f t="array" ref="C457">INDEX(Sheet1!$B$2:$F$22000,SMALL(IF(Sheet1!$A$2:$A$22000=$A$1,ROW(Sheet1!$B$2:$B$22000)),ROW($A455:$F455))-1,2)</f>
        <v>0</v>
      </c>
      <c r="D457" s="4">
        <f t="array" ref="D457">INDEX(Sheet1!$B$2:$F$22000,SMALL(IF(Sheet1!$A$2:$A$22000=$A$1,ROW(Sheet1!$B$2:$B$22000)),ROW($A455:$F455))-1,3)</f>
        <v>0</v>
      </c>
      <c r="E457" s="4">
        <f t="array" ref="E457">INDEX(Sheet1!$B$2:$F$22000,SMALL(IF(Sheet1!$A$2:$A$22000=$A$1,ROW(Sheet1!$B$2:$B$22000)),ROW($A455:$F455))-1,4)</f>
        <v>0</v>
      </c>
      <c r="F457" s="4">
        <f t="array" ref="F457">INDEX(Sheet1!$B$2:$F$22000,SMALL(IF(Sheet1!$A$2:$A$22000=$A$1,ROW(Sheet1!$B$2:$B$22000)),ROW($A455:$F455))-1,5)</f>
        <v>0</v>
      </c>
      <c r="M457" s="9">
        <v>455</v>
      </c>
      <c r="N457" s="10">
        <f t="shared" si="47"/>
        <v>0</v>
      </c>
      <c r="O457" s="11">
        <f t="shared" si="48"/>
        <v>0</v>
      </c>
      <c r="P457" s="12">
        <f t="shared" si="49"/>
        <v>0</v>
      </c>
      <c r="Q457" s="13">
        <f t="shared" si="50"/>
        <v>0</v>
      </c>
      <c r="V457" s="14">
        <f t="shared" si="46"/>
        <v>0.888671875</v>
      </c>
      <c r="W457" s="10">
        <f t="shared" si="51"/>
        <v>0</v>
      </c>
      <c r="X457" s="11">
        <f t="shared" si="51"/>
        <v>0</v>
      </c>
      <c r="Y457" s="12">
        <f t="shared" si="51"/>
        <v>0</v>
      </c>
      <c r="Z457" s="13">
        <f t="shared" si="51"/>
        <v>0</v>
      </c>
    </row>
    <row r="458" spans="2:26" x14ac:dyDescent="0.25">
      <c r="B458" s="4">
        <v>456</v>
      </c>
      <c r="C458" s="4">
        <f t="array" ref="C458">INDEX(Sheet1!$B$2:$F$22000,SMALL(IF(Sheet1!$A$2:$A$22000=$A$1,ROW(Sheet1!$B$2:$B$22000)),ROW($A456:$F456))-1,2)</f>
        <v>0</v>
      </c>
      <c r="D458" s="4">
        <f t="array" ref="D458">INDEX(Sheet1!$B$2:$F$22000,SMALL(IF(Sheet1!$A$2:$A$22000=$A$1,ROW(Sheet1!$B$2:$B$22000)),ROW($A456:$F456))-1,3)</f>
        <v>0</v>
      </c>
      <c r="E458" s="4">
        <f t="array" ref="E458">INDEX(Sheet1!$B$2:$F$22000,SMALL(IF(Sheet1!$A$2:$A$22000=$A$1,ROW(Sheet1!$B$2:$B$22000)),ROW($A456:$F456))-1,4)</f>
        <v>0</v>
      </c>
      <c r="F458" s="4">
        <f t="array" ref="F458">INDEX(Sheet1!$B$2:$F$22000,SMALL(IF(Sheet1!$A$2:$A$22000=$A$1,ROW(Sheet1!$B$2:$B$22000)),ROW($A456:$F456))-1,5)</f>
        <v>0</v>
      </c>
      <c r="M458" s="9">
        <v>456</v>
      </c>
      <c r="N458" s="10">
        <f t="shared" si="47"/>
        <v>0</v>
      </c>
      <c r="O458" s="11">
        <f t="shared" si="48"/>
        <v>0</v>
      </c>
      <c r="P458" s="12">
        <f t="shared" si="49"/>
        <v>0</v>
      </c>
      <c r="Q458" s="13">
        <f t="shared" si="50"/>
        <v>0</v>
      </c>
      <c r="V458" s="14">
        <f t="shared" si="46"/>
        <v>0.890625</v>
      </c>
      <c r="W458" s="10">
        <f t="shared" si="51"/>
        <v>0</v>
      </c>
      <c r="X458" s="11">
        <f t="shared" si="51"/>
        <v>0</v>
      </c>
      <c r="Y458" s="12">
        <f t="shared" si="51"/>
        <v>0</v>
      </c>
      <c r="Z458" s="13">
        <f t="shared" si="51"/>
        <v>0</v>
      </c>
    </row>
    <row r="459" spans="2:26" x14ac:dyDescent="0.25">
      <c r="B459" s="4">
        <v>457</v>
      </c>
      <c r="C459" s="4">
        <f t="array" ref="C459">INDEX(Sheet1!$B$2:$F$22000,SMALL(IF(Sheet1!$A$2:$A$22000=$A$1,ROW(Sheet1!$B$2:$B$22000)),ROW($A457:$F457))-1,2)</f>
        <v>0</v>
      </c>
      <c r="D459" s="4">
        <f t="array" ref="D459">INDEX(Sheet1!$B$2:$F$22000,SMALL(IF(Sheet1!$A$2:$A$22000=$A$1,ROW(Sheet1!$B$2:$B$22000)),ROW($A457:$F457))-1,3)</f>
        <v>0</v>
      </c>
      <c r="E459" s="4">
        <f t="array" ref="E459">INDEX(Sheet1!$B$2:$F$22000,SMALL(IF(Sheet1!$A$2:$A$22000=$A$1,ROW(Sheet1!$B$2:$B$22000)),ROW($A457:$F457))-1,4)</f>
        <v>0</v>
      </c>
      <c r="F459" s="4">
        <f t="array" ref="F459">INDEX(Sheet1!$B$2:$F$22000,SMALL(IF(Sheet1!$A$2:$A$22000=$A$1,ROW(Sheet1!$B$2:$B$22000)),ROW($A457:$F457))-1,5)</f>
        <v>0</v>
      </c>
      <c r="M459" s="9">
        <v>457</v>
      </c>
      <c r="N459" s="10">
        <f t="shared" si="47"/>
        <v>0</v>
      </c>
      <c r="O459" s="11">
        <f t="shared" si="48"/>
        <v>0</v>
      </c>
      <c r="P459" s="12">
        <f t="shared" si="49"/>
        <v>0</v>
      </c>
      <c r="Q459" s="13">
        <f t="shared" si="50"/>
        <v>0</v>
      </c>
      <c r="V459" s="14">
        <f t="shared" si="46"/>
        <v>0.892578125</v>
      </c>
      <c r="W459" s="10">
        <f t="shared" si="51"/>
        <v>0</v>
      </c>
      <c r="X459" s="11">
        <f t="shared" si="51"/>
        <v>0</v>
      </c>
      <c r="Y459" s="12">
        <f t="shared" si="51"/>
        <v>0</v>
      </c>
      <c r="Z459" s="13">
        <f t="shared" si="51"/>
        <v>0</v>
      </c>
    </row>
    <row r="460" spans="2:26" x14ac:dyDescent="0.25">
      <c r="B460" s="4">
        <v>458</v>
      </c>
      <c r="C460" s="4">
        <f t="array" ref="C460">INDEX(Sheet1!$B$2:$F$22000,SMALL(IF(Sheet1!$A$2:$A$22000=$A$1,ROW(Sheet1!$B$2:$B$22000)),ROW($A458:$F458))-1,2)</f>
        <v>0</v>
      </c>
      <c r="D460" s="4">
        <f t="array" ref="D460">INDEX(Sheet1!$B$2:$F$22000,SMALL(IF(Sheet1!$A$2:$A$22000=$A$1,ROW(Sheet1!$B$2:$B$22000)),ROW($A458:$F458))-1,3)</f>
        <v>0</v>
      </c>
      <c r="E460" s="4">
        <f t="array" ref="E460">INDEX(Sheet1!$B$2:$F$22000,SMALL(IF(Sheet1!$A$2:$A$22000=$A$1,ROW(Sheet1!$B$2:$B$22000)),ROW($A458:$F458))-1,4)</f>
        <v>0</v>
      </c>
      <c r="F460" s="4">
        <f t="array" ref="F460">INDEX(Sheet1!$B$2:$F$22000,SMALL(IF(Sheet1!$A$2:$A$22000=$A$1,ROW(Sheet1!$B$2:$B$22000)),ROW($A458:$F458))-1,5)</f>
        <v>0</v>
      </c>
      <c r="M460" s="9">
        <v>458</v>
      </c>
      <c r="N460" s="10">
        <f t="shared" si="47"/>
        <v>0</v>
      </c>
      <c r="O460" s="11">
        <f t="shared" si="48"/>
        <v>0</v>
      </c>
      <c r="P460" s="12">
        <f t="shared" si="49"/>
        <v>0</v>
      </c>
      <c r="Q460" s="13">
        <f t="shared" si="50"/>
        <v>0</v>
      </c>
      <c r="V460" s="14">
        <f t="shared" si="46"/>
        <v>0.89453125</v>
      </c>
      <c r="W460" s="10">
        <f t="shared" si="51"/>
        <v>0</v>
      </c>
      <c r="X460" s="11">
        <f t="shared" si="51"/>
        <v>0</v>
      </c>
      <c r="Y460" s="12">
        <f t="shared" si="51"/>
        <v>0</v>
      </c>
      <c r="Z460" s="13">
        <f t="shared" si="51"/>
        <v>0</v>
      </c>
    </row>
    <row r="461" spans="2:26" x14ac:dyDescent="0.25">
      <c r="B461" s="4">
        <v>459</v>
      </c>
      <c r="C461" s="4">
        <f t="array" ref="C461">INDEX(Sheet1!$B$2:$F$22000,SMALL(IF(Sheet1!$A$2:$A$22000=$A$1,ROW(Sheet1!$B$2:$B$22000)),ROW($A459:$F459))-1,2)</f>
        <v>0</v>
      </c>
      <c r="D461" s="4">
        <f t="array" ref="D461">INDEX(Sheet1!$B$2:$F$22000,SMALL(IF(Sheet1!$A$2:$A$22000=$A$1,ROW(Sheet1!$B$2:$B$22000)),ROW($A459:$F459))-1,3)</f>
        <v>0</v>
      </c>
      <c r="E461" s="4">
        <f t="array" ref="E461">INDEX(Sheet1!$B$2:$F$22000,SMALL(IF(Sheet1!$A$2:$A$22000=$A$1,ROW(Sheet1!$B$2:$B$22000)),ROW($A459:$F459))-1,4)</f>
        <v>0</v>
      </c>
      <c r="F461" s="4">
        <f t="array" ref="F461">INDEX(Sheet1!$B$2:$F$22000,SMALL(IF(Sheet1!$A$2:$A$22000=$A$1,ROW(Sheet1!$B$2:$B$22000)),ROW($A459:$F459))-1,5)</f>
        <v>0</v>
      </c>
      <c r="M461" s="9">
        <v>459</v>
      </c>
      <c r="N461" s="10">
        <f t="shared" si="47"/>
        <v>0</v>
      </c>
      <c r="O461" s="11">
        <f t="shared" si="48"/>
        <v>0</v>
      </c>
      <c r="P461" s="12">
        <f t="shared" si="49"/>
        <v>0</v>
      </c>
      <c r="Q461" s="13">
        <f t="shared" si="50"/>
        <v>0</v>
      </c>
      <c r="V461" s="14">
        <f t="shared" si="46"/>
        <v>0.896484375</v>
      </c>
      <c r="W461" s="10">
        <f t="shared" si="51"/>
        <v>0</v>
      </c>
      <c r="X461" s="11">
        <f t="shared" si="51"/>
        <v>0</v>
      </c>
      <c r="Y461" s="12">
        <f t="shared" si="51"/>
        <v>0</v>
      </c>
      <c r="Z461" s="13">
        <f t="shared" si="51"/>
        <v>0</v>
      </c>
    </row>
    <row r="462" spans="2:26" x14ac:dyDescent="0.25">
      <c r="B462" s="4">
        <v>460</v>
      </c>
      <c r="C462" s="4">
        <f t="array" ref="C462">INDEX(Sheet1!$B$2:$F$22000,SMALL(IF(Sheet1!$A$2:$A$22000=$A$1,ROW(Sheet1!$B$2:$B$22000)),ROW($A460:$F460))-1,2)</f>
        <v>0</v>
      </c>
      <c r="D462" s="4">
        <f t="array" ref="D462">INDEX(Sheet1!$B$2:$F$22000,SMALL(IF(Sheet1!$A$2:$A$22000=$A$1,ROW(Sheet1!$B$2:$B$22000)),ROW($A460:$F460))-1,3)</f>
        <v>0</v>
      </c>
      <c r="E462" s="4">
        <f t="array" ref="E462">INDEX(Sheet1!$B$2:$F$22000,SMALL(IF(Sheet1!$A$2:$A$22000=$A$1,ROW(Sheet1!$B$2:$B$22000)),ROW($A460:$F460))-1,4)</f>
        <v>0</v>
      </c>
      <c r="F462" s="4">
        <f t="array" ref="F462">INDEX(Sheet1!$B$2:$F$22000,SMALL(IF(Sheet1!$A$2:$A$22000=$A$1,ROW(Sheet1!$B$2:$B$22000)),ROW($A460:$F460))-1,5)</f>
        <v>0</v>
      </c>
      <c r="M462" s="9">
        <v>460</v>
      </c>
      <c r="N462" s="10">
        <f t="shared" si="47"/>
        <v>0</v>
      </c>
      <c r="O462" s="11">
        <f t="shared" si="48"/>
        <v>0</v>
      </c>
      <c r="P462" s="12">
        <f t="shared" si="49"/>
        <v>0</v>
      </c>
      <c r="Q462" s="13">
        <f t="shared" si="50"/>
        <v>0</v>
      </c>
      <c r="V462" s="14">
        <f t="shared" si="46"/>
        <v>0.8984375</v>
      </c>
      <c r="W462" s="10">
        <f t="shared" si="51"/>
        <v>0</v>
      </c>
      <c r="X462" s="11">
        <f t="shared" si="51"/>
        <v>0</v>
      </c>
      <c r="Y462" s="12">
        <f t="shared" si="51"/>
        <v>0</v>
      </c>
      <c r="Z462" s="13">
        <f t="shared" si="51"/>
        <v>0</v>
      </c>
    </row>
    <row r="463" spans="2:26" x14ac:dyDescent="0.25">
      <c r="B463" s="4">
        <v>461</v>
      </c>
      <c r="C463" s="4">
        <f t="array" ref="C463">INDEX(Sheet1!$B$2:$F$22000,SMALL(IF(Sheet1!$A$2:$A$22000=$A$1,ROW(Sheet1!$B$2:$B$22000)),ROW($A461:$F461))-1,2)</f>
        <v>0</v>
      </c>
      <c r="D463" s="4">
        <f t="array" ref="D463">INDEX(Sheet1!$B$2:$F$22000,SMALL(IF(Sheet1!$A$2:$A$22000=$A$1,ROW(Sheet1!$B$2:$B$22000)),ROW($A461:$F461))-1,3)</f>
        <v>0</v>
      </c>
      <c r="E463" s="4">
        <f t="array" ref="E463">INDEX(Sheet1!$B$2:$F$22000,SMALL(IF(Sheet1!$A$2:$A$22000=$A$1,ROW(Sheet1!$B$2:$B$22000)),ROW($A461:$F461))-1,4)</f>
        <v>0</v>
      </c>
      <c r="F463" s="4">
        <f t="array" ref="F463">INDEX(Sheet1!$B$2:$F$22000,SMALL(IF(Sheet1!$A$2:$A$22000=$A$1,ROW(Sheet1!$B$2:$B$22000)),ROW($A461:$F461))-1,5)</f>
        <v>0</v>
      </c>
      <c r="M463" s="9">
        <v>461</v>
      </c>
      <c r="N463" s="10">
        <f t="shared" si="47"/>
        <v>0</v>
      </c>
      <c r="O463" s="11">
        <f t="shared" si="48"/>
        <v>0</v>
      </c>
      <c r="P463" s="12">
        <f t="shared" si="49"/>
        <v>0</v>
      </c>
      <c r="Q463" s="13">
        <f t="shared" si="50"/>
        <v>0</v>
      </c>
      <c r="V463" s="14">
        <f t="shared" si="46"/>
        <v>0.900390625</v>
      </c>
      <c r="W463" s="10">
        <f t="shared" si="51"/>
        <v>0</v>
      </c>
      <c r="X463" s="11">
        <f t="shared" si="51"/>
        <v>0</v>
      </c>
      <c r="Y463" s="12">
        <f t="shared" si="51"/>
        <v>0</v>
      </c>
      <c r="Z463" s="13">
        <f t="shared" si="51"/>
        <v>0</v>
      </c>
    </row>
    <row r="464" spans="2:26" x14ac:dyDescent="0.25">
      <c r="B464" s="4">
        <v>462</v>
      </c>
      <c r="C464" s="4">
        <f t="array" ref="C464">INDEX(Sheet1!$B$2:$F$22000,SMALL(IF(Sheet1!$A$2:$A$22000=$A$1,ROW(Sheet1!$B$2:$B$22000)),ROW($A462:$F462))-1,2)</f>
        <v>0</v>
      </c>
      <c r="D464" s="4">
        <f t="array" ref="D464">INDEX(Sheet1!$B$2:$F$22000,SMALL(IF(Sheet1!$A$2:$A$22000=$A$1,ROW(Sheet1!$B$2:$B$22000)),ROW($A462:$F462))-1,3)</f>
        <v>0</v>
      </c>
      <c r="E464" s="4">
        <f t="array" ref="E464">INDEX(Sheet1!$B$2:$F$22000,SMALL(IF(Sheet1!$A$2:$A$22000=$A$1,ROW(Sheet1!$B$2:$B$22000)),ROW($A462:$F462))-1,4)</f>
        <v>0</v>
      </c>
      <c r="F464" s="4">
        <f t="array" ref="F464">INDEX(Sheet1!$B$2:$F$22000,SMALL(IF(Sheet1!$A$2:$A$22000=$A$1,ROW(Sheet1!$B$2:$B$22000)),ROW($A462:$F462))-1,5)</f>
        <v>0</v>
      </c>
      <c r="M464" s="9">
        <v>462</v>
      </c>
      <c r="N464" s="10">
        <f t="shared" si="47"/>
        <v>0</v>
      </c>
      <c r="O464" s="11">
        <f t="shared" si="48"/>
        <v>0</v>
      </c>
      <c r="P464" s="12">
        <f t="shared" si="49"/>
        <v>0</v>
      </c>
      <c r="Q464" s="13">
        <f t="shared" si="50"/>
        <v>0</v>
      </c>
      <c r="V464" s="14">
        <f t="shared" si="46"/>
        <v>0.90234375</v>
      </c>
      <c r="W464" s="10">
        <f t="shared" si="51"/>
        <v>0</v>
      </c>
      <c r="X464" s="11">
        <f t="shared" si="51"/>
        <v>0</v>
      </c>
      <c r="Y464" s="12">
        <f t="shared" si="51"/>
        <v>0</v>
      </c>
      <c r="Z464" s="13">
        <f t="shared" si="51"/>
        <v>0</v>
      </c>
    </row>
    <row r="465" spans="2:26" x14ac:dyDescent="0.25">
      <c r="B465" s="4">
        <v>463</v>
      </c>
      <c r="C465" s="4">
        <f t="array" ref="C465">INDEX(Sheet1!$B$2:$F$22000,SMALL(IF(Sheet1!$A$2:$A$22000=$A$1,ROW(Sheet1!$B$2:$B$22000)),ROW($A463:$F463))-1,2)</f>
        <v>0</v>
      </c>
      <c r="D465" s="4">
        <f t="array" ref="D465">INDEX(Sheet1!$B$2:$F$22000,SMALL(IF(Sheet1!$A$2:$A$22000=$A$1,ROW(Sheet1!$B$2:$B$22000)),ROW($A463:$F463))-1,3)</f>
        <v>0</v>
      </c>
      <c r="E465" s="4">
        <f t="array" ref="E465">INDEX(Sheet1!$B$2:$F$22000,SMALL(IF(Sheet1!$A$2:$A$22000=$A$1,ROW(Sheet1!$B$2:$B$22000)),ROW($A463:$F463))-1,4)</f>
        <v>0</v>
      </c>
      <c r="F465" s="4">
        <f t="array" ref="F465">INDEX(Sheet1!$B$2:$F$22000,SMALL(IF(Sheet1!$A$2:$A$22000=$A$1,ROW(Sheet1!$B$2:$B$22000)),ROW($A463:$F463))-1,5)</f>
        <v>0</v>
      </c>
      <c r="M465" s="9">
        <v>463</v>
      </c>
      <c r="N465" s="10">
        <f t="shared" si="47"/>
        <v>0</v>
      </c>
      <c r="O465" s="11">
        <f t="shared" si="48"/>
        <v>0</v>
      </c>
      <c r="P465" s="12">
        <f t="shared" si="49"/>
        <v>0</v>
      </c>
      <c r="Q465" s="13">
        <f t="shared" si="50"/>
        <v>0</v>
      </c>
      <c r="V465" s="14">
        <f t="shared" si="46"/>
        <v>0.904296875</v>
      </c>
      <c r="W465" s="10">
        <f t="shared" si="51"/>
        <v>0</v>
      </c>
      <c r="X465" s="11">
        <f t="shared" si="51"/>
        <v>0</v>
      </c>
      <c r="Y465" s="12">
        <f t="shared" si="51"/>
        <v>0</v>
      </c>
      <c r="Z465" s="13">
        <f t="shared" si="51"/>
        <v>0</v>
      </c>
    </row>
    <row r="466" spans="2:26" x14ac:dyDescent="0.25">
      <c r="B466" s="4">
        <v>464</v>
      </c>
      <c r="C466" s="4">
        <f t="array" ref="C466">INDEX(Sheet1!$B$2:$F$22000,SMALL(IF(Sheet1!$A$2:$A$22000=$A$1,ROW(Sheet1!$B$2:$B$22000)),ROW($A464:$F464))-1,2)</f>
        <v>0</v>
      </c>
      <c r="D466" s="4">
        <f t="array" ref="D466">INDEX(Sheet1!$B$2:$F$22000,SMALL(IF(Sheet1!$A$2:$A$22000=$A$1,ROW(Sheet1!$B$2:$B$22000)),ROW($A464:$F464))-1,3)</f>
        <v>0</v>
      </c>
      <c r="E466" s="4">
        <f t="array" ref="E466">INDEX(Sheet1!$B$2:$F$22000,SMALL(IF(Sheet1!$A$2:$A$22000=$A$1,ROW(Sheet1!$B$2:$B$22000)),ROW($A464:$F464))-1,4)</f>
        <v>0</v>
      </c>
      <c r="F466" s="4">
        <f t="array" ref="F466">INDEX(Sheet1!$B$2:$F$22000,SMALL(IF(Sheet1!$A$2:$A$22000=$A$1,ROW(Sheet1!$B$2:$B$22000)),ROW($A464:$F464))-1,5)</f>
        <v>0</v>
      </c>
      <c r="M466" s="9">
        <v>464</v>
      </c>
      <c r="N466" s="10">
        <f t="shared" si="47"/>
        <v>0</v>
      </c>
      <c r="O466" s="11">
        <f t="shared" si="48"/>
        <v>0</v>
      </c>
      <c r="P466" s="12">
        <f t="shared" si="49"/>
        <v>0</v>
      </c>
      <c r="Q466" s="13">
        <f t="shared" si="50"/>
        <v>0</v>
      </c>
      <c r="V466" s="14">
        <f t="shared" si="46"/>
        <v>0.90625</v>
      </c>
      <c r="W466" s="10">
        <f t="shared" si="51"/>
        <v>0</v>
      </c>
      <c r="X466" s="11">
        <f t="shared" si="51"/>
        <v>0</v>
      </c>
      <c r="Y466" s="12">
        <f t="shared" si="51"/>
        <v>0</v>
      </c>
      <c r="Z466" s="13">
        <f t="shared" si="51"/>
        <v>0</v>
      </c>
    </row>
    <row r="467" spans="2:26" x14ac:dyDescent="0.25">
      <c r="B467" s="4">
        <v>465</v>
      </c>
      <c r="C467" s="4">
        <f t="array" ref="C467">INDEX(Sheet1!$B$2:$F$22000,SMALL(IF(Sheet1!$A$2:$A$22000=$A$1,ROW(Sheet1!$B$2:$B$22000)),ROW($A465:$F465))-1,2)</f>
        <v>0</v>
      </c>
      <c r="D467" s="4">
        <f t="array" ref="D467">INDEX(Sheet1!$B$2:$F$22000,SMALL(IF(Sheet1!$A$2:$A$22000=$A$1,ROW(Sheet1!$B$2:$B$22000)),ROW($A465:$F465))-1,3)</f>
        <v>0</v>
      </c>
      <c r="E467" s="4">
        <f t="array" ref="E467">INDEX(Sheet1!$B$2:$F$22000,SMALL(IF(Sheet1!$A$2:$A$22000=$A$1,ROW(Sheet1!$B$2:$B$22000)),ROW($A465:$F465))-1,4)</f>
        <v>0</v>
      </c>
      <c r="F467" s="4">
        <f t="array" ref="F467">INDEX(Sheet1!$B$2:$F$22000,SMALL(IF(Sheet1!$A$2:$A$22000=$A$1,ROW(Sheet1!$B$2:$B$22000)),ROW($A465:$F465))-1,5)</f>
        <v>0</v>
      </c>
      <c r="M467" s="9">
        <v>465</v>
      </c>
      <c r="N467" s="10">
        <f t="shared" si="47"/>
        <v>0</v>
      </c>
      <c r="O467" s="11">
        <f t="shared" si="48"/>
        <v>0</v>
      </c>
      <c r="P467" s="12">
        <f t="shared" si="49"/>
        <v>0</v>
      </c>
      <c r="Q467" s="13">
        <f t="shared" si="50"/>
        <v>0</v>
      </c>
      <c r="V467" s="14">
        <f t="shared" si="46"/>
        <v>0.908203125</v>
      </c>
      <c r="W467" s="10">
        <f t="shared" si="51"/>
        <v>0</v>
      </c>
      <c r="X467" s="11">
        <f t="shared" si="51"/>
        <v>0</v>
      </c>
      <c r="Y467" s="12">
        <f t="shared" si="51"/>
        <v>0</v>
      </c>
      <c r="Z467" s="13">
        <f t="shared" si="51"/>
        <v>0</v>
      </c>
    </row>
    <row r="468" spans="2:26" x14ac:dyDescent="0.25">
      <c r="B468" s="4">
        <v>466</v>
      </c>
      <c r="C468" s="4">
        <f t="array" ref="C468">INDEX(Sheet1!$B$2:$F$22000,SMALL(IF(Sheet1!$A$2:$A$22000=$A$1,ROW(Sheet1!$B$2:$B$22000)),ROW($A466:$F466))-1,2)</f>
        <v>0</v>
      </c>
      <c r="D468" s="4">
        <f t="array" ref="D468">INDEX(Sheet1!$B$2:$F$22000,SMALL(IF(Sheet1!$A$2:$A$22000=$A$1,ROW(Sheet1!$B$2:$B$22000)),ROW($A466:$F466))-1,3)</f>
        <v>0</v>
      </c>
      <c r="E468" s="4">
        <f t="array" ref="E468">INDEX(Sheet1!$B$2:$F$22000,SMALL(IF(Sheet1!$A$2:$A$22000=$A$1,ROW(Sheet1!$B$2:$B$22000)),ROW($A466:$F466))-1,4)</f>
        <v>0</v>
      </c>
      <c r="F468" s="4">
        <f t="array" ref="F468">INDEX(Sheet1!$B$2:$F$22000,SMALL(IF(Sheet1!$A$2:$A$22000=$A$1,ROW(Sheet1!$B$2:$B$22000)),ROW($A466:$F466))-1,5)</f>
        <v>0</v>
      </c>
      <c r="M468" s="9">
        <v>466</v>
      </c>
      <c r="N468" s="10">
        <f t="shared" si="47"/>
        <v>0</v>
      </c>
      <c r="O468" s="11">
        <f t="shared" si="48"/>
        <v>0</v>
      </c>
      <c r="P468" s="12">
        <f t="shared" si="49"/>
        <v>0</v>
      </c>
      <c r="Q468" s="13">
        <f t="shared" si="50"/>
        <v>0</v>
      </c>
      <c r="V468" s="14">
        <f t="shared" si="46"/>
        <v>0.91015625</v>
      </c>
      <c r="W468" s="10">
        <f t="shared" si="51"/>
        <v>0</v>
      </c>
      <c r="X468" s="11">
        <f t="shared" si="51"/>
        <v>0</v>
      </c>
      <c r="Y468" s="12">
        <f t="shared" si="51"/>
        <v>0</v>
      </c>
      <c r="Z468" s="13">
        <f t="shared" si="51"/>
        <v>0</v>
      </c>
    </row>
    <row r="469" spans="2:26" x14ac:dyDescent="0.25">
      <c r="B469" s="4">
        <v>467</v>
      </c>
      <c r="C469" s="4">
        <f t="array" ref="C469">INDEX(Sheet1!$B$2:$F$22000,SMALL(IF(Sheet1!$A$2:$A$22000=$A$1,ROW(Sheet1!$B$2:$B$22000)),ROW($A467:$F467))-1,2)</f>
        <v>0</v>
      </c>
      <c r="D469" s="4">
        <f t="array" ref="D469">INDEX(Sheet1!$B$2:$F$22000,SMALL(IF(Sheet1!$A$2:$A$22000=$A$1,ROW(Sheet1!$B$2:$B$22000)),ROW($A467:$F467))-1,3)</f>
        <v>0</v>
      </c>
      <c r="E469" s="4">
        <f t="array" ref="E469">INDEX(Sheet1!$B$2:$F$22000,SMALL(IF(Sheet1!$A$2:$A$22000=$A$1,ROW(Sheet1!$B$2:$B$22000)),ROW($A467:$F467))-1,4)</f>
        <v>0</v>
      </c>
      <c r="F469" s="4">
        <f t="array" ref="F469">INDEX(Sheet1!$B$2:$F$22000,SMALL(IF(Sheet1!$A$2:$A$22000=$A$1,ROW(Sheet1!$B$2:$B$22000)),ROW($A467:$F467))-1,5)</f>
        <v>0</v>
      </c>
      <c r="M469" s="9">
        <v>467</v>
      </c>
      <c r="N469" s="10">
        <f t="shared" si="47"/>
        <v>0</v>
      </c>
      <c r="O469" s="11">
        <f t="shared" si="48"/>
        <v>0</v>
      </c>
      <c r="P469" s="12">
        <f t="shared" si="49"/>
        <v>0</v>
      </c>
      <c r="Q469" s="13">
        <f t="shared" si="50"/>
        <v>0</v>
      </c>
      <c r="V469" s="14">
        <f t="shared" si="46"/>
        <v>0.912109375</v>
      </c>
      <c r="W469" s="10">
        <f t="shared" si="51"/>
        <v>0</v>
      </c>
      <c r="X469" s="11">
        <f t="shared" si="51"/>
        <v>0</v>
      </c>
      <c r="Y469" s="12">
        <f t="shared" si="51"/>
        <v>0</v>
      </c>
      <c r="Z469" s="13">
        <f t="shared" si="51"/>
        <v>0</v>
      </c>
    </row>
    <row r="470" spans="2:26" x14ac:dyDescent="0.25">
      <c r="B470" s="4">
        <v>468</v>
      </c>
      <c r="C470" s="4">
        <f t="array" ref="C470">INDEX(Sheet1!$B$2:$F$22000,SMALL(IF(Sheet1!$A$2:$A$22000=$A$1,ROW(Sheet1!$B$2:$B$22000)),ROW($A468:$F468))-1,2)</f>
        <v>0</v>
      </c>
      <c r="D470" s="4">
        <f t="array" ref="D470">INDEX(Sheet1!$B$2:$F$22000,SMALL(IF(Sheet1!$A$2:$A$22000=$A$1,ROW(Sheet1!$B$2:$B$22000)),ROW($A468:$F468))-1,3)</f>
        <v>0</v>
      </c>
      <c r="E470" s="4">
        <f t="array" ref="E470">INDEX(Sheet1!$B$2:$F$22000,SMALL(IF(Sheet1!$A$2:$A$22000=$A$1,ROW(Sheet1!$B$2:$B$22000)),ROW($A468:$F468))-1,4)</f>
        <v>0</v>
      </c>
      <c r="F470" s="4">
        <f t="array" ref="F470">INDEX(Sheet1!$B$2:$F$22000,SMALL(IF(Sheet1!$A$2:$A$22000=$A$1,ROW(Sheet1!$B$2:$B$22000)),ROW($A468:$F468))-1,5)</f>
        <v>0</v>
      </c>
      <c r="M470" s="9">
        <v>468</v>
      </c>
      <c r="N470" s="10">
        <f t="shared" si="47"/>
        <v>0</v>
      </c>
      <c r="O470" s="11">
        <f t="shared" si="48"/>
        <v>0</v>
      </c>
      <c r="P470" s="12">
        <f t="shared" si="49"/>
        <v>0</v>
      </c>
      <c r="Q470" s="13">
        <f t="shared" si="50"/>
        <v>0</v>
      </c>
      <c r="V470" s="14">
        <f t="shared" si="46"/>
        <v>0.9140625</v>
      </c>
      <c r="W470" s="10">
        <f t="shared" si="51"/>
        <v>0</v>
      </c>
      <c r="X470" s="11">
        <f t="shared" si="51"/>
        <v>0</v>
      </c>
      <c r="Y470" s="12">
        <f t="shared" si="51"/>
        <v>0</v>
      </c>
      <c r="Z470" s="13">
        <f t="shared" si="51"/>
        <v>0</v>
      </c>
    </row>
    <row r="471" spans="2:26" x14ac:dyDescent="0.25">
      <c r="B471" s="4">
        <v>469</v>
      </c>
      <c r="C471" s="4">
        <f t="array" ref="C471">INDEX(Sheet1!$B$2:$F$22000,SMALL(IF(Sheet1!$A$2:$A$22000=$A$1,ROW(Sheet1!$B$2:$B$22000)),ROW($A469:$F469))-1,2)</f>
        <v>0</v>
      </c>
      <c r="D471" s="4">
        <f t="array" ref="D471">INDEX(Sheet1!$B$2:$F$22000,SMALL(IF(Sheet1!$A$2:$A$22000=$A$1,ROW(Sheet1!$B$2:$B$22000)),ROW($A469:$F469))-1,3)</f>
        <v>0</v>
      </c>
      <c r="E471" s="4">
        <f t="array" ref="E471">INDEX(Sheet1!$B$2:$F$22000,SMALL(IF(Sheet1!$A$2:$A$22000=$A$1,ROW(Sheet1!$B$2:$B$22000)),ROW($A469:$F469))-1,4)</f>
        <v>0</v>
      </c>
      <c r="F471" s="4">
        <f t="array" ref="F471">INDEX(Sheet1!$B$2:$F$22000,SMALL(IF(Sheet1!$A$2:$A$22000=$A$1,ROW(Sheet1!$B$2:$B$22000)),ROW($A469:$F469))-1,5)</f>
        <v>0</v>
      </c>
      <c r="M471" s="9">
        <v>469</v>
      </c>
      <c r="N471" s="10">
        <f t="shared" si="47"/>
        <v>0</v>
      </c>
      <c r="O471" s="11">
        <f t="shared" si="48"/>
        <v>0</v>
      </c>
      <c r="P471" s="12">
        <f t="shared" si="49"/>
        <v>0</v>
      </c>
      <c r="Q471" s="13">
        <f t="shared" si="50"/>
        <v>0</v>
      </c>
      <c r="V471" s="14">
        <f t="shared" si="46"/>
        <v>0.916015625</v>
      </c>
      <c r="W471" s="10">
        <f t="shared" si="51"/>
        <v>0</v>
      </c>
      <c r="X471" s="11">
        <f t="shared" si="51"/>
        <v>0</v>
      </c>
      <c r="Y471" s="12">
        <f t="shared" si="51"/>
        <v>0</v>
      </c>
      <c r="Z471" s="13">
        <f t="shared" si="51"/>
        <v>0</v>
      </c>
    </row>
    <row r="472" spans="2:26" x14ac:dyDescent="0.25">
      <c r="B472" s="4">
        <v>470</v>
      </c>
      <c r="C472" s="4">
        <f t="array" ref="C472">INDEX(Sheet1!$B$2:$F$22000,SMALL(IF(Sheet1!$A$2:$A$22000=$A$1,ROW(Sheet1!$B$2:$B$22000)),ROW($A470:$F470))-1,2)</f>
        <v>0</v>
      </c>
      <c r="D472" s="4">
        <f t="array" ref="D472">INDEX(Sheet1!$B$2:$F$22000,SMALL(IF(Sheet1!$A$2:$A$22000=$A$1,ROW(Sheet1!$B$2:$B$22000)),ROW($A470:$F470))-1,3)</f>
        <v>0</v>
      </c>
      <c r="E472" s="4">
        <f t="array" ref="E472">INDEX(Sheet1!$B$2:$F$22000,SMALL(IF(Sheet1!$A$2:$A$22000=$A$1,ROW(Sheet1!$B$2:$B$22000)),ROW($A470:$F470))-1,4)</f>
        <v>0</v>
      </c>
      <c r="F472" s="4">
        <f t="array" ref="F472">INDEX(Sheet1!$B$2:$F$22000,SMALL(IF(Sheet1!$A$2:$A$22000=$A$1,ROW(Sheet1!$B$2:$B$22000)),ROW($A470:$F470))-1,5)</f>
        <v>0</v>
      </c>
      <c r="M472" s="9">
        <v>470</v>
      </c>
      <c r="N472" s="10">
        <f t="shared" si="47"/>
        <v>0</v>
      </c>
      <c r="O472" s="11">
        <f t="shared" si="48"/>
        <v>0</v>
      </c>
      <c r="P472" s="12">
        <f t="shared" si="49"/>
        <v>0</v>
      </c>
      <c r="Q472" s="13">
        <f t="shared" si="50"/>
        <v>0</v>
      </c>
      <c r="V472" s="14">
        <f t="shared" si="46"/>
        <v>0.91796875</v>
      </c>
      <c r="W472" s="10">
        <f t="shared" si="51"/>
        <v>0</v>
      </c>
      <c r="X472" s="11">
        <f t="shared" si="51"/>
        <v>0</v>
      </c>
      <c r="Y472" s="12">
        <f t="shared" si="51"/>
        <v>0</v>
      </c>
      <c r="Z472" s="13">
        <f t="shared" si="51"/>
        <v>0</v>
      </c>
    </row>
    <row r="473" spans="2:26" x14ac:dyDescent="0.25">
      <c r="B473" s="4">
        <v>471</v>
      </c>
      <c r="C473" s="4">
        <f t="array" ref="C473">INDEX(Sheet1!$B$2:$F$22000,SMALL(IF(Sheet1!$A$2:$A$22000=$A$1,ROW(Sheet1!$B$2:$B$22000)),ROW($A471:$F471))-1,2)</f>
        <v>0</v>
      </c>
      <c r="D473" s="4">
        <f t="array" ref="D473">INDEX(Sheet1!$B$2:$F$22000,SMALL(IF(Sheet1!$A$2:$A$22000=$A$1,ROW(Sheet1!$B$2:$B$22000)),ROW($A471:$F471))-1,3)</f>
        <v>0</v>
      </c>
      <c r="E473" s="4">
        <f t="array" ref="E473">INDEX(Sheet1!$B$2:$F$22000,SMALL(IF(Sheet1!$A$2:$A$22000=$A$1,ROW(Sheet1!$B$2:$B$22000)),ROW($A471:$F471))-1,4)</f>
        <v>0</v>
      </c>
      <c r="F473" s="4">
        <f t="array" ref="F473">INDEX(Sheet1!$B$2:$F$22000,SMALL(IF(Sheet1!$A$2:$A$22000=$A$1,ROW(Sheet1!$B$2:$B$22000)),ROW($A471:$F471))-1,5)</f>
        <v>0</v>
      </c>
      <c r="M473" s="9">
        <v>471</v>
      </c>
      <c r="N473" s="10">
        <f t="shared" si="47"/>
        <v>0</v>
      </c>
      <c r="O473" s="11">
        <f t="shared" si="48"/>
        <v>0</v>
      </c>
      <c r="P473" s="12">
        <f t="shared" si="49"/>
        <v>0</v>
      </c>
      <c r="Q473" s="13">
        <f t="shared" si="50"/>
        <v>0</v>
      </c>
      <c r="V473" s="14">
        <f t="shared" si="46"/>
        <v>0.919921875</v>
      </c>
      <c r="W473" s="10">
        <f t="shared" si="51"/>
        <v>0</v>
      </c>
      <c r="X473" s="11">
        <f t="shared" si="51"/>
        <v>0</v>
      </c>
      <c r="Y473" s="12">
        <f t="shared" si="51"/>
        <v>0</v>
      </c>
      <c r="Z473" s="13">
        <f t="shared" si="51"/>
        <v>0</v>
      </c>
    </row>
    <row r="474" spans="2:26" x14ac:dyDescent="0.25">
      <c r="B474" s="4">
        <v>472</v>
      </c>
      <c r="C474" s="4">
        <f t="array" ref="C474">INDEX(Sheet1!$B$2:$F$22000,SMALL(IF(Sheet1!$A$2:$A$22000=$A$1,ROW(Sheet1!$B$2:$B$22000)),ROW($A472:$F472))-1,2)</f>
        <v>0</v>
      </c>
      <c r="D474" s="4">
        <f t="array" ref="D474">INDEX(Sheet1!$B$2:$F$22000,SMALL(IF(Sheet1!$A$2:$A$22000=$A$1,ROW(Sheet1!$B$2:$B$22000)),ROW($A472:$F472))-1,3)</f>
        <v>0</v>
      </c>
      <c r="E474" s="4">
        <f t="array" ref="E474">INDEX(Sheet1!$B$2:$F$22000,SMALL(IF(Sheet1!$A$2:$A$22000=$A$1,ROW(Sheet1!$B$2:$B$22000)),ROW($A472:$F472))-1,4)</f>
        <v>0</v>
      </c>
      <c r="F474" s="4">
        <f t="array" ref="F474">INDEX(Sheet1!$B$2:$F$22000,SMALL(IF(Sheet1!$A$2:$A$22000=$A$1,ROW(Sheet1!$B$2:$B$22000)),ROW($A472:$F472))-1,5)</f>
        <v>0</v>
      </c>
      <c r="M474" s="9">
        <v>472</v>
      </c>
      <c r="N474" s="10">
        <f t="shared" si="47"/>
        <v>0</v>
      </c>
      <c r="O474" s="11">
        <f t="shared" si="48"/>
        <v>0</v>
      </c>
      <c r="P474" s="12">
        <f t="shared" si="49"/>
        <v>0</v>
      </c>
      <c r="Q474" s="13">
        <f t="shared" si="50"/>
        <v>0</v>
      </c>
      <c r="V474" s="14">
        <f t="shared" si="46"/>
        <v>0.921875</v>
      </c>
      <c r="W474" s="10">
        <f t="shared" si="51"/>
        <v>0</v>
      </c>
      <c r="X474" s="11">
        <f t="shared" si="51"/>
        <v>0</v>
      </c>
      <c r="Y474" s="12">
        <f t="shared" si="51"/>
        <v>0</v>
      </c>
      <c r="Z474" s="13">
        <f t="shared" si="51"/>
        <v>0</v>
      </c>
    </row>
    <row r="475" spans="2:26" x14ac:dyDescent="0.25">
      <c r="B475" s="4">
        <v>473</v>
      </c>
      <c r="C475" s="4">
        <f t="array" ref="C475">INDEX(Sheet1!$B$2:$F$22000,SMALL(IF(Sheet1!$A$2:$A$22000=$A$1,ROW(Sheet1!$B$2:$B$22000)),ROW($A473:$F473))-1,2)</f>
        <v>0</v>
      </c>
      <c r="D475" s="4">
        <f t="array" ref="D475">INDEX(Sheet1!$B$2:$F$22000,SMALL(IF(Sheet1!$A$2:$A$22000=$A$1,ROW(Sheet1!$B$2:$B$22000)),ROW($A473:$F473))-1,3)</f>
        <v>0</v>
      </c>
      <c r="E475" s="4">
        <f t="array" ref="E475">INDEX(Sheet1!$B$2:$F$22000,SMALL(IF(Sheet1!$A$2:$A$22000=$A$1,ROW(Sheet1!$B$2:$B$22000)),ROW($A473:$F473))-1,4)</f>
        <v>0</v>
      </c>
      <c r="F475" s="4">
        <f t="array" ref="F475">INDEX(Sheet1!$B$2:$F$22000,SMALL(IF(Sheet1!$A$2:$A$22000=$A$1,ROW(Sheet1!$B$2:$B$22000)),ROW($A473:$F473))-1,5)</f>
        <v>0</v>
      </c>
      <c r="M475" s="9">
        <v>473</v>
      </c>
      <c r="N475" s="10">
        <f t="shared" si="47"/>
        <v>0</v>
      </c>
      <c r="O475" s="11">
        <f t="shared" si="48"/>
        <v>0</v>
      </c>
      <c r="P475" s="12">
        <f t="shared" si="49"/>
        <v>0</v>
      </c>
      <c r="Q475" s="13">
        <f t="shared" si="50"/>
        <v>0</v>
      </c>
      <c r="V475" s="14">
        <f t="shared" si="46"/>
        <v>0.923828125</v>
      </c>
      <c r="W475" s="10">
        <f t="shared" si="51"/>
        <v>0</v>
      </c>
      <c r="X475" s="11">
        <f t="shared" si="51"/>
        <v>0</v>
      </c>
      <c r="Y475" s="12">
        <f t="shared" si="51"/>
        <v>0</v>
      </c>
      <c r="Z475" s="13">
        <f t="shared" si="51"/>
        <v>0</v>
      </c>
    </row>
    <row r="476" spans="2:26" x14ac:dyDescent="0.25">
      <c r="B476" s="4">
        <v>474</v>
      </c>
      <c r="C476" s="4">
        <f t="array" ref="C476">INDEX(Sheet1!$B$2:$F$22000,SMALL(IF(Sheet1!$A$2:$A$22000=$A$1,ROW(Sheet1!$B$2:$B$22000)),ROW($A474:$F474))-1,2)</f>
        <v>0</v>
      </c>
      <c r="D476" s="4">
        <f t="array" ref="D476">INDEX(Sheet1!$B$2:$F$22000,SMALL(IF(Sheet1!$A$2:$A$22000=$A$1,ROW(Sheet1!$B$2:$B$22000)),ROW($A474:$F474))-1,3)</f>
        <v>0</v>
      </c>
      <c r="E476" s="4">
        <f t="array" ref="E476">INDEX(Sheet1!$B$2:$F$22000,SMALL(IF(Sheet1!$A$2:$A$22000=$A$1,ROW(Sheet1!$B$2:$B$22000)),ROW($A474:$F474))-1,4)</f>
        <v>0</v>
      </c>
      <c r="F476" s="4">
        <f t="array" ref="F476">INDEX(Sheet1!$B$2:$F$22000,SMALL(IF(Sheet1!$A$2:$A$22000=$A$1,ROW(Sheet1!$B$2:$B$22000)),ROW($A474:$F474))-1,5)</f>
        <v>0</v>
      </c>
      <c r="M476" s="9">
        <v>474</v>
      </c>
      <c r="N476" s="10">
        <f t="shared" si="47"/>
        <v>0</v>
      </c>
      <c r="O476" s="11">
        <f t="shared" si="48"/>
        <v>0</v>
      </c>
      <c r="P476" s="12">
        <f t="shared" si="49"/>
        <v>0</v>
      </c>
      <c r="Q476" s="13">
        <f t="shared" si="50"/>
        <v>0</v>
      </c>
      <c r="V476" s="14">
        <f t="shared" si="46"/>
        <v>0.92578125</v>
      </c>
      <c r="W476" s="10">
        <f t="shared" si="51"/>
        <v>0</v>
      </c>
      <c r="X476" s="11">
        <f t="shared" si="51"/>
        <v>0</v>
      </c>
      <c r="Y476" s="12">
        <f t="shared" si="51"/>
        <v>0</v>
      </c>
      <c r="Z476" s="13">
        <f t="shared" si="51"/>
        <v>0</v>
      </c>
    </row>
    <row r="477" spans="2:26" x14ac:dyDescent="0.25">
      <c r="B477" s="4">
        <v>475</v>
      </c>
      <c r="C477" s="4">
        <f t="array" ref="C477">INDEX(Sheet1!$B$2:$F$22000,SMALL(IF(Sheet1!$A$2:$A$22000=$A$1,ROW(Sheet1!$B$2:$B$22000)),ROW($A475:$F475))-1,2)</f>
        <v>0</v>
      </c>
      <c r="D477" s="4">
        <f t="array" ref="D477">INDEX(Sheet1!$B$2:$F$22000,SMALL(IF(Sheet1!$A$2:$A$22000=$A$1,ROW(Sheet1!$B$2:$B$22000)),ROW($A475:$F475))-1,3)</f>
        <v>0</v>
      </c>
      <c r="E477" s="4">
        <f t="array" ref="E477">INDEX(Sheet1!$B$2:$F$22000,SMALL(IF(Sheet1!$A$2:$A$22000=$A$1,ROW(Sheet1!$B$2:$B$22000)),ROW($A475:$F475))-1,4)</f>
        <v>0</v>
      </c>
      <c r="F477" s="4">
        <f t="array" ref="F477">INDEX(Sheet1!$B$2:$F$22000,SMALL(IF(Sheet1!$A$2:$A$22000=$A$1,ROW(Sheet1!$B$2:$B$22000)),ROW($A475:$F475))-1,5)</f>
        <v>0</v>
      </c>
      <c r="M477" s="9">
        <v>475</v>
      </c>
      <c r="N477" s="10">
        <f t="shared" si="47"/>
        <v>0</v>
      </c>
      <c r="O477" s="11">
        <f t="shared" si="48"/>
        <v>0</v>
      </c>
      <c r="P477" s="12">
        <f t="shared" si="49"/>
        <v>0</v>
      </c>
      <c r="Q477" s="13">
        <f t="shared" si="50"/>
        <v>0</v>
      </c>
      <c r="V477" s="14">
        <f t="shared" si="46"/>
        <v>0.927734375</v>
      </c>
      <c r="W477" s="10">
        <f t="shared" si="51"/>
        <v>0</v>
      </c>
      <c r="X477" s="11">
        <f t="shared" si="51"/>
        <v>0</v>
      </c>
      <c r="Y477" s="12">
        <f t="shared" si="51"/>
        <v>0</v>
      </c>
      <c r="Z477" s="13">
        <f t="shared" si="51"/>
        <v>0</v>
      </c>
    </row>
    <row r="478" spans="2:26" x14ac:dyDescent="0.25">
      <c r="B478" s="4">
        <v>476</v>
      </c>
      <c r="C478" s="4">
        <f t="array" ref="C478">INDEX(Sheet1!$B$2:$F$22000,SMALL(IF(Sheet1!$A$2:$A$22000=$A$1,ROW(Sheet1!$B$2:$B$22000)),ROW($A476:$F476))-1,2)</f>
        <v>0</v>
      </c>
      <c r="D478" s="4">
        <f t="array" ref="D478">INDEX(Sheet1!$B$2:$F$22000,SMALL(IF(Sheet1!$A$2:$A$22000=$A$1,ROW(Sheet1!$B$2:$B$22000)),ROW($A476:$F476))-1,3)</f>
        <v>0</v>
      </c>
      <c r="E478" s="4">
        <f t="array" ref="E478">INDEX(Sheet1!$B$2:$F$22000,SMALL(IF(Sheet1!$A$2:$A$22000=$A$1,ROW(Sheet1!$B$2:$B$22000)),ROW($A476:$F476))-1,4)</f>
        <v>0</v>
      </c>
      <c r="F478" s="4">
        <f t="array" ref="F478">INDEX(Sheet1!$B$2:$F$22000,SMALL(IF(Sheet1!$A$2:$A$22000=$A$1,ROW(Sheet1!$B$2:$B$22000)),ROW($A476:$F476))-1,5)</f>
        <v>0</v>
      </c>
      <c r="M478" s="9">
        <v>476</v>
      </c>
      <c r="N478" s="10">
        <f t="shared" si="47"/>
        <v>0</v>
      </c>
      <c r="O478" s="11">
        <f t="shared" si="48"/>
        <v>0</v>
      </c>
      <c r="P478" s="12">
        <f t="shared" si="49"/>
        <v>0</v>
      </c>
      <c r="Q478" s="13">
        <f t="shared" si="50"/>
        <v>0</v>
      </c>
      <c r="V478" s="14">
        <f t="shared" si="46"/>
        <v>0.9296875</v>
      </c>
      <c r="W478" s="10">
        <f t="shared" si="51"/>
        <v>0</v>
      </c>
      <c r="X478" s="11">
        <f t="shared" si="51"/>
        <v>0</v>
      </c>
      <c r="Y478" s="12">
        <f t="shared" si="51"/>
        <v>0</v>
      </c>
      <c r="Z478" s="13">
        <f t="shared" si="51"/>
        <v>0</v>
      </c>
    </row>
    <row r="479" spans="2:26" x14ac:dyDescent="0.25">
      <c r="B479" s="4">
        <v>477</v>
      </c>
      <c r="C479" s="4">
        <f t="array" ref="C479">INDEX(Sheet1!$B$2:$F$22000,SMALL(IF(Sheet1!$A$2:$A$22000=$A$1,ROW(Sheet1!$B$2:$B$22000)),ROW($A477:$F477))-1,2)</f>
        <v>0</v>
      </c>
      <c r="D479" s="4">
        <f t="array" ref="D479">INDEX(Sheet1!$B$2:$F$22000,SMALL(IF(Sheet1!$A$2:$A$22000=$A$1,ROW(Sheet1!$B$2:$B$22000)),ROW($A477:$F477))-1,3)</f>
        <v>0</v>
      </c>
      <c r="E479" s="4">
        <f t="array" ref="E479">INDEX(Sheet1!$B$2:$F$22000,SMALL(IF(Sheet1!$A$2:$A$22000=$A$1,ROW(Sheet1!$B$2:$B$22000)),ROW($A477:$F477))-1,4)</f>
        <v>0</v>
      </c>
      <c r="F479" s="4">
        <f t="array" ref="F479">INDEX(Sheet1!$B$2:$F$22000,SMALL(IF(Sheet1!$A$2:$A$22000=$A$1,ROW(Sheet1!$B$2:$B$22000)),ROW($A477:$F477))-1,5)</f>
        <v>0</v>
      </c>
      <c r="M479" s="9">
        <v>477</v>
      </c>
      <c r="N479" s="10">
        <f t="shared" si="47"/>
        <v>0</v>
      </c>
      <c r="O479" s="11">
        <f t="shared" si="48"/>
        <v>0</v>
      </c>
      <c r="P479" s="12">
        <f t="shared" si="49"/>
        <v>0</v>
      </c>
      <c r="Q479" s="13">
        <f t="shared" si="50"/>
        <v>0</v>
      </c>
      <c r="V479" s="14">
        <f t="shared" si="46"/>
        <v>0.931640625</v>
      </c>
      <c r="W479" s="10">
        <f t="shared" si="51"/>
        <v>0</v>
      </c>
      <c r="X479" s="11">
        <f t="shared" si="51"/>
        <v>0</v>
      </c>
      <c r="Y479" s="12">
        <f t="shared" si="51"/>
        <v>0</v>
      </c>
      <c r="Z479" s="13">
        <f t="shared" si="51"/>
        <v>0</v>
      </c>
    </row>
    <row r="480" spans="2:26" x14ac:dyDescent="0.25">
      <c r="B480" s="4">
        <v>478</v>
      </c>
      <c r="C480" s="4">
        <f t="array" ref="C480">INDEX(Sheet1!$B$2:$F$22000,SMALL(IF(Sheet1!$A$2:$A$22000=$A$1,ROW(Sheet1!$B$2:$B$22000)),ROW($A478:$F478))-1,2)</f>
        <v>0</v>
      </c>
      <c r="D480" s="4">
        <f t="array" ref="D480">INDEX(Sheet1!$B$2:$F$22000,SMALL(IF(Sheet1!$A$2:$A$22000=$A$1,ROW(Sheet1!$B$2:$B$22000)),ROW($A478:$F478))-1,3)</f>
        <v>0</v>
      </c>
      <c r="E480" s="4">
        <f t="array" ref="E480">INDEX(Sheet1!$B$2:$F$22000,SMALL(IF(Sheet1!$A$2:$A$22000=$A$1,ROW(Sheet1!$B$2:$B$22000)),ROW($A478:$F478))-1,4)</f>
        <v>0</v>
      </c>
      <c r="F480" s="4">
        <f t="array" ref="F480">INDEX(Sheet1!$B$2:$F$22000,SMALL(IF(Sheet1!$A$2:$A$22000=$A$1,ROW(Sheet1!$B$2:$B$22000)),ROW($A478:$F478))-1,5)</f>
        <v>0</v>
      </c>
      <c r="M480" s="9">
        <v>478</v>
      </c>
      <c r="N480" s="10">
        <f t="shared" si="47"/>
        <v>0</v>
      </c>
      <c r="O480" s="11">
        <f t="shared" si="48"/>
        <v>0</v>
      </c>
      <c r="P480" s="12">
        <f t="shared" si="49"/>
        <v>0</v>
      </c>
      <c r="Q480" s="13">
        <f t="shared" si="50"/>
        <v>0</v>
      </c>
      <c r="V480" s="14">
        <f t="shared" si="46"/>
        <v>0.93359375</v>
      </c>
      <c r="W480" s="10">
        <f t="shared" si="51"/>
        <v>0</v>
      </c>
      <c r="X480" s="11">
        <f t="shared" si="51"/>
        <v>0</v>
      </c>
      <c r="Y480" s="12">
        <f t="shared" si="51"/>
        <v>0</v>
      </c>
      <c r="Z480" s="13">
        <f t="shared" si="51"/>
        <v>0</v>
      </c>
    </row>
    <row r="481" spans="2:26" x14ac:dyDescent="0.25">
      <c r="B481" s="4">
        <v>479</v>
      </c>
      <c r="C481" s="4">
        <f t="array" ref="C481">INDEX(Sheet1!$B$2:$F$22000,SMALL(IF(Sheet1!$A$2:$A$22000=$A$1,ROW(Sheet1!$B$2:$B$22000)),ROW($A479:$F479))-1,2)</f>
        <v>0</v>
      </c>
      <c r="D481" s="4">
        <f t="array" ref="D481">INDEX(Sheet1!$B$2:$F$22000,SMALL(IF(Sheet1!$A$2:$A$22000=$A$1,ROW(Sheet1!$B$2:$B$22000)),ROW($A479:$F479))-1,3)</f>
        <v>0</v>
      </c>
      <c r="E481" s="4">
        <f t="array" ref="E481">INDEX(Sheet1!$B$2:$F$22000,SMALL(IF(Sheet1!$A$2:$A$22000=$A$1,ROW(Sheet1!$B$2:$B$22000)),ROW($A479:$F479))-1,4)</f>
        <v>0</v>
      </c>
      <c r="F481" s="4">
        <f t="array" ref="F481">INDEX(Sheet1!$B$2:$F$22000,SMALL(IF(Sheet1!$A$2:$A$22000=$A$1,ROW(Sheet1!$B$2:$B$22000)),ROW($A479:$F479))-1,5)</f>
        <v>0</v>
      </c>
      <c r="M481" s="9">
        <v>479</v>
      </c>
      <c r="N481" s="10">
        <f t="shared" si="47"/>
        <v>0</v>
      </c>
      <c r="O481" s="11">
        <f t="shared" si="48"/>
        <v>0</v>
      </c>
      <c r="P481" s="12">
        <f t="shared" si="49"/>
        <v>0</v>
      </c>
      <c r="Q481" s="13">
        <f t="shared" si="50"/>
        <v>0</v>
      </c>
      <c r="V481" s="14">
        <f t="shared" si="46"/>
        <v>0.935546875</v>
      </c>
      <c r="W481" s="10">
        <f t="shared" si="51"/>
        <v>0</v>
      </c>
      <c r="X481" s="11">
        <f t="shared" si="51"/>
        <v>0</v>
      </c>
      <c r="Y481" s="12">
        <f t="shared" si="51"/>
        <v>0</v>
      </c>
      <c r="Z481" s="13">
        <f t="shared" si="51"/>
        <v>0</v>
      </c>
    </row>
    <row r="482" spans="2:26" x14ac:dyDescent="0.25">
      <c r="B482" s="4">
        <v>480</v>
      </c>
      <c r="C482" s="4">
        <f t="array" ref="C482">INDEX(Sheet1!$B$2:$F$22000,SMALL(IF(Sheet1!$A$2:$A$22000=$A$1,ROW(Sheet1!$B$2:$B$22000)),ROW($A480:$F480))-1,2)</f>
        <v>0</v>
      </c>
      <c r="D482" s="4">
        <f t="array" ref="D482">INDEX(Sheet1!$B$2:$F$22000,SMALL(IF(Sheet1!$A$2:$A$22000=$A$1,ROW(Sheet1!$B$2:$B$22000)),ROW($A480:$F480))-1,3)</f>
        <v>0</v>
      </c>
      <c r="E482" s="4">
        <f t="array" ref="E482">INDEX(Sheet1!$B$2:$F$22000,SMALL(IF(Sheet1!$A$2:$A$22000=$A$1,ROW(Sheet1!$B$2:$B$22000)),ROW($A480:$F480))-1,4)</f>
        <v>0</v>
      </c>
      <c r="F482" s="4">
        <f t="array" ref="F482">INDEX(Sheet1!$B$2:$F$22000,SMALL(IF(Sheet1!$A$2:$A$22000=$A$1,ROW(Sheet1!$B$2:$B$22000)),ROW($A480:$F480))-1,5)</f>
        <v>0</v>
      </c>
      <c r="M482" s="9">
        <v>480</v>
      </c>
      <c r="N482" s="10">
        <f t="shared" si="47"/>
        <v>0</v>
      </c>
      <c r="O482" s="11">
        <f t="shared" si="48"/>
        <v>0</v>
      </c>
      <c r="P482" s="12">
        <f t="shared" si="49"/>
        <v>0</v>
      </c>
      <c r="Q482" s="13">
        <f t="shared" si="50"/>
        <v>0</v>
      </c>
      <c r="V482" s="14">
        <f t="shared" si="46"/>
        <v>0.9375</v>
      </c>
      <c r="W482" s="10">
        <f t="shared" si="51"/>
        <v>0</v>
      </c>
      <c r="X482" s="11">
        <f t="shared" si="51"/>
        <v>0</v>
      </c>
      <c r="Y482" s="12">
        <f t="shared" si="51"/>
        <v>0</v>
      </c>
      <c r="Z482" s="13">
        <f t="shared" si="51"/>
        <v>0</v>
      </c>
    </row>
    <row r="483" spans="2:26" x14ac:dyDescent="0.25">
      <c r="B483" s="4">
        <v>481</v>
      </c>
      <c r="C483" s="4">
        <f t="array" ref="C483">INDEX(Sheet1!$B$2:$F$22000,SMALL(IF(Sheet1!$A$2:$A$22000=$A$1,ROW(Sheet1!$B$2:$B$22000)),ROW($A481:$F481))-1,2)</f>
        <v>0</v>
      </c>
      <c r="D483" s="4">
        <f t="array" ref="D483">INDEX(Sheet1!$B$2:$F$22000,SMALL(IF(Sheet1!$A$2:$A$22000=$A$1,ROW(Sheet1!$B$2:$B$22000)),ROW($A481:$F481))-1,3)</f>
        <v>0</v>
      </c>
      <c r="E483" s="4">
        <f t="array" ref="E483">INDEX(Sheet1!$B$2:$F$22000,SMALL(IF(Sheet1!$A$2:$A$22000=$A$1,ROW(Sheet1!$B$2:$B$22000)),ROW($A481:$F481))-1,4)</f>
        <v>0</v>
      </c>
      <c r="F483" s="4">
        <f t="array" ref="F483">INDEX(Sheet1!$B$2:$F$22000,SMALL(IF(Sheet1!$A$2:$A$22000=$A$1,ROW(Sheet1!$B$2:$B$22000)),ROW($A481:$F481))-1,5)</f>
        <v>0</v>
      </c>
      <c r="M483" s="9">
        <v>481</v>
      </c>
      <c r="N483" s="10">
        <f t="shared" si="47"/>
        <v>0</v>
      </c>
      <c r="O483" s="11">
        <f t="shared" si="48"/>
        <v>0</v>
      </c>
      <c r="P483" s="12">
        <f t="shared" si="49"/>
        <v>0</v>
      </c>
      <c r="Q483" s="13">
        <f t="shared" si="50"/>
        <v>0</v>
      </c>
      <c r="V483" s="14">
        <f t="shared" si="46"/>
        <v>0.939453125</v>
      </c>
      <c r="W483" s="10">
        <f t="shared" si="51"/>
        <v>0</v>
      </c>
      <c r="X483" s="11">
        <f t="shared" si="51"/>
        <v>0</v>
      </c>
      <c r="Y483" s="12">
        <f t="shared" si="51"/>
        <v>0</v>
      </c>
      <c r="Z483" s="13">
        <f t="shared" si="51"/>
        <v>0</v>
      </c>
    </row>
    <row r="484" spans="2:26" x14ac:dyDescent="0.25">
      <c r="B484" s="4">
        <v>482</v>
      </c>
      <c r="C484" s="4">
        <f t="array" ref="C484">INDEX(Sheet1!$B$2:$F$22000,SMALL(IF(Sheet1!$A$2:$A$22000=$A$1,ROW(Sheet1!$B$2:$B$22000)),ROW($A482:$F482))-1,2)</f>
        <v>0</v>
      </c>
      <c r="D484" s="4">
        <f t="array" ref="D484">INDEX(Sheet1!$B$2:$F$22000,SMALL(IF(Sheet1!$A$2:$A$22000=$A$1,ROW(Sheet1!$B$2:$B$22000)),ROW($A482:$F482))-1,3)</f>
        <v>0</v>
      </c>
      <c r="E484" s="4">
        <f t="array" ref="E484">INDEX(Sheet1!$B$2:$F$22000,SMALL(IF(Sheet1!$A$2:$A$22000=$A$1,ROW(Sheet1!$B$2:$B$22000)),ROW($A482:$F482))-1,4)</f>
        <v>0</v>
      </c>
      <c r="F484" s="4">
        <f t="array" ref="F484">INDEX(Sheet1!$B$2:$F$22000,SMALL(IF(Sheet1!$A$2:$A$22000=$A$1,ROW(Sheet1!$B$2:$B$22000)),ROW($A482:$F482))-1,5)</f>
        <v>0</v>
      </c>
      <c r="M484" s="9">
        <v>482</v>
      </c>
      <c r="N484" s="10">
        <f t="shared" si="47"/>
        <v>0</v>
      </c>
      <c r="O484" s="11">
        <f t="shared" si="48"/>
        <v>0</v>
      </c>
      <c r="P484" s="12">
        <f t="shared" si="49"/>
        <v>0</v>
      </c>
      <c r="Q484" s="13">
        <f t="shared" si="50"/>
        <v>0</v>
      </c>
      <c r="V484" s="14">
        <f t="shared" si="46"/>
        <v>0.94140625</v>
      </c>
      <c r="W484" s="10">
        <f t="shared" si="51"/>
        <v>0</v>
      </c>
      <c r="X484" s="11">
        <f t="shared" si="51"/>
        <v>0</v>
      </c>
      <c r="Y484" s="12">
        <f t="shared" si="51"/>
        <v>0</v>
      </c>
      <c r="Z484" s="13">
        <f t="shared" si="51"/>
        <v>0</v>
      </c>
    </row>
    <row r="485" spans="2:26" x14ac:dyDescent="0.25">
      <c r="B485" s="4">
        <v>483</v>
      </c>
      <c r="C485" s="4">
        <f t="array" ref="C485">INDEX(Sheet1!$B$2:$F$22000,SMALL(IF(Sheet1!$A$2:$A$22000=$A$1,ROW(Sheet1!$B$2:$B$22000)),ROW($A483:$F483))-1,2)</f>
        <v>0</v>
      </c>
      <c r="D485" s="4">
        <f t="array" ref="D485">INDEX(Sheet1!$B$2:$F$22000,SMALL(IF(Sheet1!$A$2:$A$22000=$A$1,ROW(Sheet1!$B$2:$B$22000)),ROW($A483:$F483))-1,3)</f>
        <v>0</v>
      </c>
      <c r="E485" s="4">
        <f t="array" ref="E485">INDEX(Sheet1!$B$2:$F$22000,SMALL(IF(Sheet1!$A$2:$A$22000=$A$1,ROW(Sheet1!$B$2:$B$22000)),ROW($A483:$F483))-1,4)</f>
        <v>0</v>
      </c>
      <c r="F485" s="4">
        <f t="array" ref="F485">INDEX(Sheet1!$B$2:$F$22000,SMALL(IF(Sheet1!$A$2:$A$22000=$A$1,ROW(Sheet1!$B$2:$B$22000)),ROW($A483:$F483))-1,5)</f>
        <v>0</v>
      </c>
      <c r="M485" s="9">
        <v>483</v>
      </c>
      <c r="N485" s="10">
        <f t="shared" si="47"/>
        <v>0</v>
      </c>
      <c r="O485" s="11">
        <f t="shared" si="48"/>
        <v>0</v>
      </c>
      <c r="P485" s="12">
        <f t="shared" si="49"/>
        <v>0</v>
      </c>
      <c r="Q485" s="13">
        <f t="shared" si="50"/>
        <v>0</v>
      </c>
      <c r="V485" s="14">
        <f t="shared" si="46"/>
        <v>0.943359375</v>
      </c>
      <c r="W485" s="10">
        <f t="shared" si="51"/>
        <v>0</v>
      </c>
      <c r="X485" s="11">
        <f t="shared" si="51"/>
        <v>0</v>
      </c>
      <c r="Y485" s="12">
        <f t="shared" si="51"/>
        <v>0</v>
      </c>
      <c r="Z485" s="13">
        <f t="shared" si="51"/>
        <v>0</v>
      </c>
    </row>
    <row r="486" spans="2:26" x14ac:dyDescent="0.25">
      <c r="B486" s="4">
        <v>484</v>
      </c>
      <c r="C486" s="4">
        <f t="array" ref="C486">INDEX(Sheet1!$B$2:$F$22000,SMALL(IF(Sheet1!$A$2:$A$22000=$A$1,ROW(Sheet1!$B$2:$B$22000)),ROW($A484:$F484))-1,2)</f>
        <v>0</v>
      </c>
      <c r="D486" s="4">
        <f t="array" ref="D486">INDEX(Sheet1!$B$2:$F$22000,SMALL(IF(Sheet1!$A$2:$A$22000=$A$1,ROW(Sheet1!$B$2:$B$22000)),ROW($A484:$F484))-1,3)</f>
        <v>0</v>
      </c>
      <c r="E486" s="4">
        <f t="array" ref="E486">INDEX(Sheet1!$B$2:$F$22000,SMALL(IF(Sheet1!$A$2:$A$22000=$A$1,ROW(Sheet1!$B$2:$B$22000)),ROW($A484:$F484))-1,4)</f>
        <v>0</v>
      </c>
      <c r="F486" s="4">
        <f t="array" ref="F486">INDEX(Sheet1!$B$2:$F$22000,SMALL(IF(Sheet1!$A$2:$A$22000=$A$1,ROW(Sheet1!$B$2:$B$22000)),ROW($A484:$F484))-1,5)</f>
        <v>0</v>
      </c>
      <c r="M486" s="9">
        <v>484</v>
      </c>
      <c r="N486" s="10">
        <f t="shared" si="47"/>
        <v>0</v>
      </c>
      <c r="O486" s="11">
        <f t="shared" si="48"/>
        <v>0</v>
      </c>
      <c r="P486" s="12">
        <f t="shared" si="49"/>
        <v>0</v>
      </c>
      <c r="Q486" s="13">
        <f t="shared" si="50"/>
        <v>0</v>
      </c>
      <c r="V486" s="14">
        <f t="shared" si="46"/>
        <v>0.9453125</v>
      </c>
      <c r="W486" s="10">
        <f t="shared" si="51"/>
        <v>0</v>
      </c>
      <c r="X486" s="11">
        <f t="shared" si="51"/>
        <v>0</v>
      </c>
      <c r="Y486" s="12">
        <f t="shared" si="51"/>
        <v>0</v>
      </c>
      <c r="Z486" s="13">
        <f t="shared" si="51"/>
        <v>0</v>
      </c>
    </row>
    <row r="487" spans="2:26" x14ac:dyDescent="0.25">
      <c r="B487" s="4">
        <v>485</v>
      </c>
      <c r="C487" s="4">
        <f t="array" ref="C487">INDEX(Sheet1!$B$2:$F$22000,SMALL(IF(Sheet1!$A$2:$A$22000=$A$1,ROW(Sheet1!$B$2:$B$22000)),ROW($A485:$F485))-1,2)</f>
        <v>0</v>
      </c>
      <c r="D487" s="4">
        <f t="array" ref="D487">INDEX(Sheet1!$B$2:$F$22000,SMALL(IF(Sheet1!$A$2:$A$22000=$A$1,ROW(Sheet1!$B$2:$B$22000)),ROW($A485:$F485))-1,3)</f>
        <v>0</v>
      </c>
      <c r="E487" s="4">
        <f t="array" ref="E487">INDEX(Sheet1!$B$2:$F$22000,SMALL(IF(Sheet1!$A$2:$A$22000=$A$1,ROW(Sheet1!$B$2:$B$22000)),ROW($A485:$F485))-1,4)</f>
        <v>0</v>
      </c>
      <c r="F487" s="4">
        <f t="array" ref="F487">INDEX(Sheet1!$B$2:$F$22000,SMALL(IF(Sheet1!$A$2:$A$22000=$A$1,ROW(Sheet1!$B$2:$B$22000)),ROW($A485:$F485))-1,5)</f>
        <v>0</v>
      </c>
      <c r="M487" s="9">
        <v>485</v>
      </c>
      <c r="N487" s="10">
        <f t="shared" si="47"/>
        <v>0</v>
      </c>
      <c r="O487" s="11">
        <f t="shared" si="48"/>
        <v>0</v>
      </c>
      <c r="P487" s="12">
        <f t="shared" si="49"/>
        <v>0</v>
      </c>
      <c r="Q487" s="13">
        <f t="shared" si="50"/>
        <v>0</v>
      </c>
      <c r="V487" s="14">
        <f t="shared" si="46"/>
        <v>0.947265625</v>
      </c>
      <c r="W487" s="10">
        <f t="shared" si="51"/>
        <v>0</v>
      </c>
      <c r="X487" s="11">
        <f t="shared" si="51"/>
        <v>0</v>
      </c>
      <c r="Y487" s="12">
        <f t="shared" si="51"/>
        <v>0</v>
      </c>
      <c r="Z487" s="13">
        <f t="shared" si="51"/>
        <v>0</v>
      </c>
    </row>
    <row r="488" spans="2:26" x14ac:dyDescent="0.25">
      <c r="B488" s="4">
        <v>486</v>
      </c>
      <c r="C488" s="4">
        <f t="array" ref="C488">INDEX(Sheet1!$B$2:$F$22000,SMALL(IF(Sheet1!$A$2:$A$22000=$A$1,ROW(Sheet1!$B$2:$B$22000)),ROW($A486:$F486))-1,2)</f>
        <v>0</v>
      </c>
      <c r="D488" s="4">
        <f t="array" ref="D488">INDEX(Sheet1!$B$2:$F$22000,SMALL(IF(Sheet1!$A$2:$A$22000=$A$1,ROW(Sheet1!$B$2:$B$22000)),ROW($A486:$F486))-1,3)</f>
        <v>0</v>
      </c>
      <c r="E488" s="4">
        <f t="array" ref="E488">INDEX(Sheet1!$B$2:$F$22000,SMALL(IF(Sheet1!$A$2:$A$22000=$A$1,ROW(Sheet1!$B$2:$B$22000)),ROW($A486:$F486))-1,4)</f>
        <v>0</v>
      </c>
      <c r="F488" s="4">
        <f t="array" ref="F488">INDEX(Sheet1!$B$2:$F$22000,SMALL(IF(Sheet1!$A$2:$A$22000=$A$1,ROW(Sheet1!$B$2:$B$22000)),ROW($A486:$F486))-1,5)</f>
        <v>0</v>
      </c>
      <c r="M488" s="9">
        <v>486</v>
      </c>
      <c r="N488" s="10">
        <f t="shared" si="47"/>
        <v>0</v>
      </c>
      <c r="O488" s="11">
        <f t="shared" si="48"/>
        <v>0</v>
      </c>
      <c r="P488" s="12">
        <f t="shared" si="49"/>
        <v>0</v>
      </c>
      <c r="Q488" s="13">
        <f t="shared" si="50"/>
        <v>0</v>
      </c>
      <c r="V488" s="14">
        <f t="shared" si="46"/>
        <v>0.94921875</v>
      </c>
      <c r="W488" s="10">
        <f t="shared" si="51"/>
        <v>0</v>
      </c>
      <c r="X488" s="11">
        <f t="shared" si="51"/>
        <v>0</v>
      </c>
      <c r="Y488" s="12">
        <f t="shared" si="51"/>
        <v>0</v>
      </c>
      <c r="Z488" s="13">
        <f t="shared" si="51"/>
        <v>0</v>
      </c>
    </row>
    <row r="489" spans="2:26" x14ac:dyDescent="0.25">
      <c r="B489" s="4">
        <v>487</v>
      </c>
      <c r="C489" s="4">
        <f t="array" ref="C489">INDEX(Sheet1!$B$2:$F$22000,SMALL(IF(Sheet1!$A$2:$A$22000=$A$1,ROW(Sheet1!$B$2:$B$22000)),ROW($A487:$F487))-1,2)</f>
        <v>0</v>
      </c>
      <c r="D489" s="4">
        <f t="array" ref="D489">INDEX(Sheet1!$B$2:$F$22000,SMALL(IF(Sheet1!$A$2:$A$22000=$A$1,ROW(Sheet1!$B$2:$B$22000)),ROW($A487:$F487))-1,3)</f>
        <v>0</v>
      </c>
      <c r="E489" s="4">
        <f t="array" ref="E489">INDEX(Sheet1!$B$2:$F$22000,SMALL(IF(Sheet1!$A$2:$A$22000=$A$1,ROW(Sheet1!$B$2:$B$22000)),ROW($A487:$F487))-1,4)</f>
        <v>0</v>
      </c>
      <c r="F489" s="4">
        <f t="array" ref="F489">INDEX(Sheet1!$B$2:$F$22000,SMALL(IF(Sheet1!$A$2:$A$22000=$A$1,ROW(Sheet1!$B$2:$B$22000)),ROW($A487:$F487))-1,5)</f>
        <v>0</v>
      </c>
      <c r="M489" s="9">
        <v>487</v>
      </c>
      <c r="N489" s="10">
        <f t="shared" si="47"/>
        <v>0</v>
      </c>
      <c r="O489" s="11">
        <f t="shared" si="48"/>
        <v>0</v>
      </c>
      <c r="P489" s="12">
        <f t="shared" si="49"/>
        <v>0</v>
      </c>
      <c r="Q489" s="13">
        <f t="shared" si="50"/>
        <v>0</v>
      </c>
      <c r="V489" s="14">
        <f t="shared" si="46"/>
        <v>0.951171875</v>
      </c>
      <c r="W489" s="10">
        <f t="shared" si="51"/>
        <v>0</v>
      </c>
      <c r="X489" s="11">
        <f t="shared" si="51"/>
        <v>0</v>
      </c>
      <c r="Y489" s="12">
        <f t="shared" si="51"/>
        <v>0</v>
      </c>
      <c r="Z489" s="13">
        <f t="shared" si="51"/>
        <v>0</v>
      </c>
    </row>
    <row r="490" spans="2:26" x14ac:dyDescent="0.25">
      <c r="B490" s="4">
        <v>488</v>
      </c>
      <c r="C490" s="4">
        <f t="array" ref="C490">INDEX(Sheet1!$B$2:$F$22000,SMALL(IF(Sheet1!$A$2:$A$22000=$A$1,ROW(Sheet1!$B$2:$B$22000)),ROW($A488:$F488))-1,2)</f>
        <v>0</v>
      </c>
      <c r="D490" s="4">
        <f t="array" ref="D490">INDEX(Sheet1!$B$2:$F$22000,SMALL(IF(Sheet1!$A$2:$A$22000=$A$1,ROW(Sheet1!$B$2:$B$22000)),ROW($A488:$F488))-1,3)</f>
        <v>0</v>
      </c>
      <c r="E490" s="4">
        <f t="array" ref="E490">INDEX(Sheet1!$B$2:$F$22000,SMALL(IF(Sheet1!$A$2:$A$22000=$A$1,ROW(Sheet1!$B$2:$B$22000)),ROW($A488:$F488))-1,4)</f>
        <v>0</v>
      </c>
      <c r="F490" s="4">
        <f t="array" ref="F490">INDEX(Sheet1!$B$2:$F$22000,SMALL(IF(Sheet1!$A$2:$A$22000=$A$1,ROW(Sheet1!$B$2:$B$22000)),ROW($A488:$F488))-1,5)</f>
        <v>0</v>
      </c>
      <c r="M490" s="9">
        <v>488</v>
      </c>
      <c r="N490" s="10">
        <f t="shared" si="47"/>
        <v>0</v>
      </c>
      <c r="O490" s="11">
        <f t="shared" si="48"/>
        <v>0</v>
      </c>
      <c r="P490" s="12">
        <f t="shared" si="49"/>
        <v>0</v>
      </c>
      <c r="Q490" s="13">
        <f t="shared" si="50"/>
        <v>0</v>
      </c>
      <c r="V490" s="14">
        <f t="shared" si="46"/>
        <v>0.953125</v>
      </c>
      <c r="W490" s="10">
        <f t="shared" si="51"/>
        <v>0</v>
      </c>
      <c r="X490" s="11">
        <f t="shared" si="51"/>
        <v>0</v>
      </c>
      <c r="Y490" s="12">
        <f t="shared" si="51"/>
        <v>0</v>
      </c>
      <c r="Z490" s="13">
        <f t="shared" si="51"/>
        <v>0</v>
      </c>
    </row>
    <row r="491" spans="2:26" x14ac:dyDescent="0.25">
      <c r="B491" s="4">
        <v>489</v>
      </c>
      <c r="C491" s="4">
        <f t="array" ref="C491">INDEX(Sheet1!$B$2:$F$22000,SMALL(IF(Sheet1!$A$2:$A$22000=$A$1,ROW(Sheet1!$B$2:$B$22000)),ROW($A489:$F489))-1,2)</f>
        <v>0</v>
      </c>
      <c r="D491" s="4">
        <f t="array" ref="D491">INDEX(Sheet1!$B$2:$F$22000,SMALL(IF(Sheet1!$A$2:$A$22000=$A$1,ROW(Sheet1!$B$2:$B$22000)),ROW($A489:$F489))-1,3)</f>
        <v>0</v>
      </c>
      <c r="E491" s="4">
        <f t="array" ref="E491">INDEX(Sheet1!$B$2:$F$22000,SMALL(IF(Sheet1!$A$2:$A$22000=$A$1,ROW(Sheet1!$B$2:$B$22000)),ROW($A489:$F489))-1,4)</f>
        <v>0</v>
      </c>
      <c r="F491" s="4">
        <f t="array" ref="F491">INDEX(Sheet1!$B$2:$F$22000,SMALL(IF(Sheet1!$A$2:$A$22000=$A$1,ROW(Sheet1!$B$2:$B$22000)),ROW($A489:$F489))-1,5)</f>
        <v>0</v>
      </c>
      <c r="M491" s="9">
        <v>489</v>
      </c>
      <c r="N491" s="10">
        <f t="shared" si="47"/>
        <v>0</v>
      </c>
      <c r="O491" s="11">
        <f t="shared" si="48"/>
        <v>0</v>
      </c>
      <c r="P491" s="12">
        <f t="shared" si="49"/>
        <v>0</v>
      </c>
      <c r="Q491" s="13">
        <f t="shared" si="50"/>
        <v>0</v>
      </c>
      <c r="V491" s="14">
        <f t="shared" si="46"/>
        <v>0.955078125</v>
      </c>
      <c r="W491" s="10">
        <f t="shared" si="51"/>
        <v>0</v>
      </c>
      <c r="X491" s="11">
        <f t="shared" si="51"/>
        <v>0</v>
      </c>
      <c r="Y491" s="12">
        <f t="shared" si="51"/>
        <v>0</v>
      </c>
      <c r="Z491" s="13">
        <f t="shared" si="51"/>
        <v>0</v>
      </c>
    </row>
    <row r="492" spans="2:26" x14ac:dyDescent="0.25">
      <c r="B492" s="4">
        <v>490</v>
      </c>
      <c r="C492" s="4">
        <f t="array" ref="C492">INDEX(Sheet1!$B$2:$F$22000,SMALL(IF(Sheet1!$A$2:$A$22000=$A$1,ROW(Sheet1!$B$2:$B$22000)),ROW($A490:$F490))-1,2)</f>
        <v>0</v>
      </c>
      <c r="D492" s="4">
        <f t="array" ref="D492">INDEX(Sheet1!$B$2:$F$22000,SMALL(IF(Sheet1!$A$2:$A$22000=$A$1,ROW(Sheet1!$B$2:$B$22000)),ROW($A490:$F490))-1,3)</f>
        <v>0</v>
      </c>
      <c r="E492" s="4">
        <f t="array" ref="E492">INDEX(Sheet1!$B$2:$F$22000,SMALL(IF(Sheet1!$A$2:$A$22000=$A$1,ROW(Sheet1!$B$2:$B$22000)),ROW($A490:$F490))-1,4)</f>
        <v>0</v>
      </c>
      <c r="F492" s="4">
        <f t="array" ref="F492">INDEX(Sheet1!$B$2:$F$22000,SMALL(IF(Sheet1!$A$2:$A$22000=$A$1,ROW(Sheet1!$B$2:$B$22000)),ROW($A490:$F490))-1,5)</f>
        <v>0</v>
      </c>
      <c r="M492" s="9">
        <v>490</v>
      </c>
      <c r="N492" s="10">
        <f t="shared" si="47"/>
        <v>0</v>
      </c>
      <c r="O492" s="11">
        <f t="shared" si="48"/>
        <v>0</v>
      </c>
      <c r="P492" s="12">
        <f t="shared" si="49"/>
        <v>0</v>
      </c>
      <c r="Q492" s="13">
        <f t="shared" si="50"/>
        <v>0</v>
      </c>
      <c r="V492" s="14">
        <f t="shared" si="46"/>
        <v>0.95703125</v>
      </c>
      <c r="W492" s="10">
        <f t="shared" si="51"/>
        <v>0</v>
      </c>
      <c r="X492" s="11">
        <f t="shared" si="51"/>
        <v>0</v>
      </c>
      <c r="Y492" s="12">
        <f t="shared" si="51"/>
        <v>0</v>
      </c>
      <c r="Z492" s="13">
        <f t="shared" si="51"/>
        <v>0</v>
      </c>
    </row>
    <row r="493" spans="2:26" x14ac:dyDescent="0.25">
      <c r="B493" s="4">
        <v>491</v>
      </c>
      <c r="C493" s="4">
        <f t="array" ref="C493">INDEX(Sheet1!$B$2:$F$22000,SMALL(IF(Sheet1!$A$2:$A$22000=$A$1,ROW(Sheet1!$B$2:$B$22000)),ROW($A491:$F491))-1,2)</f>
        <v>0</v>
      </c>
      <c r="D493" s="4">
        <f t="array" ref="D493">INDEX(Sheet1!$B$2:$F$22000,SMALL(IF(Sheet1!$A$2:$A$22000=$A$1,ROW(Sheet1!$B$2:$B$22000)),ROW($A491:$F491))-1,3)</f>
        <v>0</v>
      </c>
      <c r="E493" s="4">
        <f t="array" ref="E493">INDEX(Sheet1!$B$2:$F$22000,SMALL(IF(Sheet1!$A$2:$A$22000=$A$1,ROW(Sheet1!$B$2:$B$22000)),ROW($A491:$F491))-1,4)</f>
        <v>0</v>
      </c>
      <c r="F493" s="4">
        <f t="array" ref="F493">INDEX(Sheet1!$B$2:$F$22000,SMALL(IF(Sheet1!$A$2:$A$22000=$A$1,ROW(Sheet1!$B$2:$B$22000)),ROW($A491:$F491))-1,5)</f>
        <v>0</v>
      </c>
      <c r="M493" s="9">
        <v>491</v>
      </c>
      <c r="N493" s="10">
        <f t="shared" si="47"/>
        <v>0</v>
      </c>
      <c r="O493" s="11">
        <f t="shared" si="48"/>
        <v>0</v>
      </c>
      <c r="P493" s="12">
        <f t="shared" si="49"/>
        <v>0</v>
      </c>
      <c r="Q493" s="13">
        <f t="shared" si="50"/>
        <v>0</v>
      </c>
      <c r="V493" s="14">
        <f t="shared" si="46"/>
        <v>0.958984375</v>
      </c>
      <c r="W493" s="10">
        <f t="shared" si="51"/>
        <v>0</v>
      </c>
      <c r="X493" s="11">
        <f t="shared" si="51"/>
        <v>0</v>
      </c>
      <c r="Y493" s="12">
        <f t="shared" si="51"/>
        <v>0</v>
      </c>
      <c r="Z493" s="13">
        <f t="shared" si="51"/>
        <v>0</v>
      </c>
    </row>
    <row r="494" spans="2:26" x14ac:dyDescent="0.25">
      <c r="B494" s="4">
        <v>492</v>
      </c>
      <c r="C494" s="4">
        <f t="array" ref="C494">INDEX(Sheet1!$B$2:$F$22000,SMALL(IF(Sheet1!$A$2:$A$22000=$A$1,ROW(Sheet1!$B$2:$B$22000)),ROW($A492:$F492))-1,2)</f>
        <v>0</v>
      </c>
      <c r="D494" s="4">
        <f t="array" ref="D494">INDEX(Sheet1!$B$2:$F$22000,SMALL(IF(Sheet1!$A$2:$A$22000=$A$1,ROW(Sheet1!$B$2:$B$22000)),ROW($A492:$F492))-1,3)</f>
        <v>0</v>
      </c>
      <c r="E494" s="4">
        <f t="array" ref="E494">INDEX(Sheet1!$B$2:$F$22000,SMALL(IF(Sheet1!$A$2:$A$22000=$A$1,ROW(Sheet1!$B$2:$B$22000)),ROW($A492:$F492))-1,4)</f>
        <v>0</v>
      </c>
      <c r="F494" s="4">
        <f t="array" ref="F494">INDEX(Sheet1!$B$2:$F$22000,SMALL(IF(Sheet1!$A$2:$A$22000=$A$1,ROW(Sheet1!$B$2:$B$22000)),ROW($A492:$F492))-1,5)</f>
        <v>0</v>
      </c>
      <c r="M494" s="9">
        <v>492</v>
      </c>
      <c r="N494" s="10">
        <f t="shared" si="47"/>
        <v>0</v>
      </c>
      <c r="O494" s="11">
        <f t="shared" si="48"/>
        <v>0</v>
      </c>
      <c r="P494" s="12">
        <f t="shared" si="49"/>
        <v>0</v>
      </c>
      <c r="Q494" s="13">
        <f t="shared" si="50"/>
        <v>0</v>
      </c>
      <c r="V494" s="14">
        <f t="shared" si="46"/>
        <v>0.9609375</v>
      </c>
      <c r="W494" s="10">
        <f t="shared" si="51"/>
        <v>0</v>
      </c>
      <c r="X494" s="11">
        <f t="shared" si="51"/>
        <v>0</v>
      </c>
      <c r="Y494" s="12">
        <f t="shared" si="51"/>
        <v>0</v>
      </c>
      <c r="Z494" s="13">
        <f t="shared" si="51"/>
        <v>0</v>
      </c>
    </row>
    <row r="495" spans="2:26" x14ac:dyDescent="0.25">
      <c r="B495" s="4">
        <v>493</v>
      </c>
      <c r="C495" s="4">
        <f t="array" ref="C495">INDEX(Sheet1!$B$2:$F$22000,SMALL(IF(Sheet1!$A$2:$A$22000=$A$1,ROW(Sheet1!$B$2:$B$22000)),ROW($A493:$F493))-1,2)</f>
        <v>0</v>
      </c>
      <c r="D495" s="4">
        <f t="array" ref="D495">INDEX(Sheet1!$B$2:$F$22000,SMALL(IF(Sheet1!$A$2:$A$22000=$A$1,ROW(Sheet1!$B$2:$B$22000)),ROW($A493:$F493))-1,3)</f>
        <v>0</v>
      </c>
      <c r="E495" s="4">
        <f t="array" ref="E495">INDEX(Sheet1!$B$2:$F$22000,SMALL(IF(Sheet1!$A$2:$A$22000=$A$1,ROW(Sheet1!$B$2:$B$22000)),ROW($A493:$F493))-1,4)</f>
        <v>0</v>
      </c>
      <c r="F495" s="4">
        <f t="array" ref="F495">INDEX(Sheet1!$B$2:$F$22000,SMALL(IF(Sheet1!$A$2:$A$22000=$A$1,ROW(Sheet1!$B$2:$B$22000)),ROW($A493:$F493))-1,5)</f>
        <v>0</v>
      </c>
      <c r="M495" s="9">
        <v>493</v>
      </c>
      <c r="N495" s="10">
        <f t="shared" si="47"/>
        <v>0</v>
      </c>
      <c r="O495" s="11">
        <f t="shared" si="48"/>
        <v>0</v>
      </c>
      <c r="P495" s="12">
        <f t="shared" si="49"/>
        <v>0</v>
      </c>
      <c r="Q495" s="13">
        <f t="shared" si="50"/>
        <v>0</v>
      </c>
      <c r="V495" s="14">
        <f t="shared" si="46"/>
        <v>0.962890625</v>
      </c>
      <c r="W495" s="10">
        <f t="shared" si="51"/>
        <v>0</v>
      </c>
      <c r="X495" s="11">
        <f t="shared" si="51"/>
        <v>0</v>
      </c>
      <c r="Y495" s="12">
        <f t="shared" si="51"/>
        <v>0</v>
      </c>
      <c r="Z495" s="13">
        <f t="shared" si="51"/>
        <v>0</v>
      </c>
    </row>
    <row r="496" spans="2:26" x14ac:dyDescent="0.25">
      <c r="B496" s="4">
        <v>494</v>
      </c>
      <c r="C496" s="4">
        <f t="array" ref="C496">INDEX(Sheet1!$B$2:$F$22000,SMALL(IF(Sheet1!$A$2:$A$22000=$A$1,ROW(Sheet1!$B$2:$B$22000)),ROW($A494:$F494))-1,2)</f>
        <v>0</v>
      </c>
      <c r="D496" s="4">
        <f t="array" ref="D496">INDEX(Sheet1!$B$2:$F$22000,SMALL(IF(Sheet1!$A$2:$A$22000=$A$1,ROW(Sheet1!$B$2:$B$22000)),ROW($A494:$F494))-1,3)</f>
        <v>0</v>
      </c>
      <c r="E496" s="4">
        <f t="array" ref="E496">INDEX(Sheet1!$B$2:$F$22000,SMALL(IF(Sheet1!$A$2:$A$22000=$A$1,ROW(Sheet1!$B$2:$B$22000)),ROW($A494:$F494))-1,4)</f>
        <v>0</v>
      </c>
      <c r="F496" s="4">
        <f t="array" ref="F496">INDEX(Sheet1!$B$2:$F$22000,SMALL(IF(Sheet1!$A$2:$A$22000=$A$1,ROW(Sheet1!$B$2:$B$22000)),ROW($A494:$F494))-1,5)</f>
        <v>0</v>
      </c>
      <c r="M496" s="9">
        <v>494</v>
      </c>
      <c r="N496" s="10">
        <f t="shared" si="47"/>
        <v>0</v>
      </c>
      <c r="O496" s="11">
        <f t="shared" si="48"/>
        <v>0</v>
      </c>
      <c r="P496" s="12">
        <f t="shared" si="49"/>
        <v>0</v>
      </c>
      <c r="Q496" s="13">
        <f t="shared" si="50"/>
        <v>0</v>
      </c>
      <c r="V496" s="14">
        <f t="shared" si="46"/>
        <v>0.96484375</v>
      </c>
      <c r="W496" s="10">
        <f t="shared" si="51"/>
        <v>0</v>
      </c>
      <c r="X496" s="11">
        <f t="shared" si="51"/>
        <v>0</v>
      </c>
      <c r="Y496" s="12">
        <f t="shared" si="51"/>
        <v>0</v>
      </c>
      <c r="Z496" s="13">
        <f t="shared" si="51"/>
        <v>0</v>
      </c>
    </row>
    <row r="497" spans="2:26" x14ac:dyDescent="0.25">
      <c r="B497" s="4">
        <v>495</v>
      </c>
      <c r="C497" s="4">
        <f t="array" ref="C497">INDEX(Sheet1!$B$2:$F$22000,SMALL(IF(Sheet1!$A$2:$A$22000=$A$1,ROW(Sheet1!$B$2:$B$22000)),ROW($A495:$F495))-1,2)</f>
        <v>0</v>
      </c>
      <c r="D497" s="4">
        <f t="array" ref="D497">INDEX(Sheet1!$B$2:$F$22000,SMALL(IF(Sheet1!$A$2:$A$22000=$A$1,ROW(Sheet1!$B$2:$B$22000)),ROW($A495:$F495))-1,3)</f>
        <v>0</v>
      </c>
      <c r="E497" s="4">
        <f t="array" ref="E497">INDEX(Sheet1!$B$2:$F$22000,SMALL(IF(Sheet1!$A$2:$A$22000=$A$1,ROW(Sheet1!$B$2:$B$22000)),ROW($A495:$F495))-1,4)</f>
        <v>0</v>
      </c>
      <c r="F497" s="4">
        <f t="array" ref="F497">INDEX(Sheet1!$B$2:$F$22000,SMALL(IF(Sheet1!$A$2:$A$22000=$A$1,ROW(Sheet1!$B$2:$B$22000)),ROW($A495:$F495))-1,5)</f>
        <v>0</v>
      </c>
      <c r="M497" s="9">
        <v>495</v>
      </c>
      <c r="N497" s="10">
        <f t="shared" si="47"/>
        <v>0</v>
      </c>
      <c r="O497" s="11">
        <f t="shared" si="48"/>
        <v>0</v>
      </c>
      <c r="P497" s="12">
        <f t="shared" si="49"/>
        <v>0</v>
      </c>
      <c r="Q497" s="13">
        <f t="shared" si="50"/>
        <v>0</v>
      </c>
      <c r="V497" s="14">
        <f t="shared" si="46"/>
        <v>0.966796875</v>
      </c>
      <c r="W497" s="10">
        <f t="shared" si="51"/>
        <v>0</v>
      </c>
      <c r="X497" s="11">
        <f t="shared" si="51"/>
        <v>0</v>
      </c>
      <c r="Y497" s="12">
        <f t="shared" si="51"/>
        <v>0</v>
      </c>
      <c r="Z497" s="13">
        <f t="shared" si="51"/>
        <v>0</v>
      </c>
    </row>
    <row r="498" spans="2:26" x14ac:dyDescent="0.25">
      <c r="B498" s="4">
        <v>496</v>
      </c>
      <c r="C498" s="4">
        <f t="array" ref="C498">INDEX(Sheet1!$B$2:$F$22000,SMALL(IF(Sheet1!$A$2:$A$22000=$A$1,ROW(Sheet1!$B$2:$B$22000)),ROW($A496:$F496))-1,2)</f>
        <v>0</v>
      </c>
      <c r="D498" s="4">
        <f t="array" ref="D498">INDEX(Sheet1!$B$2:$F$22000,SMALL(IF(Sheet1!$A$2:$A$22000=$A$1,ROW(Sheet1!$B$2:$B$22000)),ROW($A496:$F496))-1,3)</f>
        <v>0</v>
      </c>
      <c r="E498" s="4">
        <f t="array" ref="E498">INDEX(Sheet1!$B$2:$F$22000,SMALL(IF(Sheet1!$A$2:$A$22000=$A$1,ROW(Sheet1!$B$2:$B$22000)),ROW($A496:$F496))-1,4)</f>
        <v>0</v>
      </c>
      <c r="F498" s="4">
        <f t="array" ref="F498">INDEX(Sheet1!$B$2:$F$22000,SMALL(IF(Sheet1!$A$2:$A$22000=$A$1,ROW(Sheet1!$B$2:$B$22000)),ROW($A496:$F496))-1,5)</f>
        <v>0</v>
      </c>
      <c r="M498" s="9">
        <v>496</v>
      </c>
      <c r="N498" s="10">
        <f t="shared" si="47"/>
        <v>0</v>
      </c>
      <c r="O498" s="11">
        <f t="shared" si="48"/>
        <v>0</v>
      </c>
      <c r="P498" s="12">
        <f t="shared" si="49"/>
        <v>0</v>
      </c>
      <c r="Q498" s="13">
        <f t="shared" si="50"/>
        <v>0</v>
      </c>
      <c r="V498" s="14">
        <f t="shared" si="46"/>
        <v>0.96875</v>
      </c>
      <c r="W498" s="10">
        <f t="shared" si="51"/>
        <v>0</v>
      </c>
      <c r="X498" s="11">
        <f t="shared" si="51"/>
        <v>0</v>
      </c>
      <c r="Y498" s="12">
        <f t="shared" si="51"/>
        <v>0</v>
      </c>
      <c r="Z498" s="13">
        <f t="shared" si="51"/>
        <v>0</v>
      </c>
    </row>
    <row r="499" spans="2:26" x14ac:dyDescent="0.25">
      <c r="B499" s="4">
        <v>497</v>
      </c>
      <c r="C499" s="4">
        <f t="array" ref="C499">INDEX(Sheet1!$B$2:$F$22000,SMALL(IF(Sheet1!$A$2:$A$22000=$A$1,ROW(Sheet1!$B$2:$B$22000)),ROW($A497:$F497))-1,2)</f>
        <v>0</v>
      </c>
      <c r="D499" s="4">
        <f t="array" ref="D499">INDEX(Sheet1!$B$2:$F$22000,SMALL(IF(Sheet1!$A$2:$A$22000=$A$1,ROW(Sheet1!$B$2:$B$22000)),ROW($A497:$F497))-1,3)</f>
        <v>0</v>
      </c>
      <c r="E499" s="4">
        <f t="array" ref="E499">INDEX(Sheet1!$B$2:$F$22000,SMALL(IF(Sheet1!$A$2:$A$22000=$A$1,ROW(Sheet1!$B$2:$B$22000)),ROW($A497:$F497))-1,4)</f>
        <v>0</v>
      </c>
      <c r="F499" s="4">
        <f t="array" ref="F499">INDEX(Sheet1!$B$2:$F$22000,SMALL(IF(Sheet1!$A$2:$A$22000=$A$1,ROW(Sheet1!$B$2:$B$22000)),ROW($A497:$F497))-1,5)</f>
        <v>0</v>
      </c>
      <c r="M499" s="9">
        <v>497</v>
      </c>
      <c r="N499" s="10">
        <f t="shared" si="47"/>
        <v>0</v>
      </c>
      <c r="O499" s="11">
        <f t="shared" si="48"/>
        <v>0</v>
      </c>
      <c r="P499" s="12">
        <f t="shared" si="49"/>
        <v>0</v>
      </c>
      <c r="Q499" s="13">
        <f t="shared" si="50"/>
        <v>0</v>
      </c>
      <c r="V499" s="14">
        <f t="shared" si="46"/>
        <v>0.970703125</v>
      </c>
      <c r="W499" s="10">
        <f t="shared" si="51"/>
        <v>0</v>
      </c>
      <c r="X499" s="11">
        <f t="shared" si="51"/>
        <v>0</v>
      </c>
      <c r="Y499" s="12">
        <f t="shared" si="51"/>
        <v>0</v>
      </c>
      <c r="Z499" s="13">
        <f t="shared" si="51"/>
        <v>0</v>
      </c>
    </row>
    <row r="500" spans="2:26" x14ac:dyDescent="0.25">
      <c r="M500" s="9">
        <v>498</v>
      </c>
      <c r="N500" s="10">
        <v>0</v>
      </c>
      <c r="O500" s="11">
        <v>0</v>
      </c>
      <c r="P500" s="12">
        <v>0</v>
      </c>
      <c r="Q500" s="13">
        <v>0</v>
      </c>
      <c r="V500" s="14">
        <f t="shared" si="46"/>
        <v>0.97265625</v>
      </c>
      <c r="W500" s="10">
        <f t="shared" si="51"/>
        <v>0</v>
      </c>
      <c r="X500" s="11">
        <f t="shared" si="51"/>
        <v>0</v>
      </c>
      <c r="Y500" s="12">
        <f t="shared" si="51"/>
        <v>0</v>
      </c>
      <c r="Z500" s="13">
        <f t="shared" si="51"/>
        <v>0</v>
      </c>
    </row>
    <row r="501" spans="2:26" x14ac:dyDescent="0.25">
      <c r="M501" s="9">
        <v>499</v>
      </c>
      <c r="N501" s="10">
        <v>0</v>
      </c>
      <c r="O501" s="11">
        <v>0</v>
      </c>
      <c r="P501" s="12">
        <v>0</v>
      </c>
      <c r="Q501" s="13">
        <v>0</v>
      </c>
      <c r="V501" s="14">
        <f t="shared" si="46"/>
        <v>0.974609375</v>
      </c>
      <c r="W501" s="10">
        <f t="shared" si="51"/>
        <v>0</v>
      </c>
      <c r="X501" s="11">
        <f t="shared" si="51"/>
        <v>0</v>
      </c>
      <c r="Y501" s="12">
        <f t="shared" si="51"/>
        <v>0</v>
      </c>
      <c r="Z501" s="13">
        <f t="shared" si="51"/>
        <v>0</v>
      </c>
    </row>
    <row r="502" spans="2:26" x14ac:dyDescent="0.25">
      <c r="M502" s="9">
        <v>500</v>
      </c>
      <c r="N502" s="10">
        <v>0</v>
      </c>
      <c r="O502" s="11">
        <v>0</v>
      </c>
      <c r="P502" s="12">
        <v>0</v>
      </c>
      <c r="Q502" s="13">
        <v>0</v>
      </c>
      <c r="V502" s="14">
        <f t="shared" si="46"/>
        <v>0.9765625</v>
      </c>
      <c r="W502" s="10">
        <f t="shared" si="51"/>
        <v>0</v>
      </c>
      <c r="X502" s="11">
        <f t="shared" si="51"/>
        <v>0</v>
      </c>
      <c r="Y502" s="12">
        <f t="shared" si="51"/>
        <v>0</v>
      </c>
      <c r="Z502" s="13">
        <f t="shared" si="51"/>
        <v>0</v>
      </c>
    </row>
    <row r="503" spans="2:26" x14ac:dyDescent="0.25">
      <c r="M503" s="9">
        <v>501</v>
      </c>
      <c r="N503" s="10">
        <v>0</v>
      </c>
      <c r="O503" s="11">
        <v>0</v>
      </c>
      <c r="P503" s="12">
        <v>0</v>
      </c>
      <c r="Q503" s="13">
        <v>0</v>
      </c>
      <c r="V503" s="14">
        <f t="shared" si="46"/>
        <v>0.978515625</v>
      </c>
      <c r="W503" s="10">
        <f t="shared" si="51"/>
        <v>0</v>
      </c>
      <c r="X503" s="11">
        <f t="shared" si="51"/>
        <v>0</v>
      </c>
      <c r="Y503" s="12">
        <f t="shared" si="51"/>
        <v>0</v>
      </c>
      <c r="Z503" s="13">
        <f t="shared" si="51"/>
        <v>0</v>
      </c>
    </row>
    <row r="504" spans="2:26" x14ac:dyDescent="0.25">
      <c r="M504" s="9">
        <v>502</v>
      </c>
      <c r="N504" s="10">
        <v>0</v>
      </c>
      <c r="O504" s="11">
        <v>0</v>
      </c>
      <c r="P504" s="12">
        <v>0</v>
      </c>
      <c r="Q504" s="13">
        <v>0</v>
      </c>
      <c r="V504" s="14">
        <f t="shared" si="46"/>
        <v>0.98046875</v>
      </c>
      <c r="W504" s="10">
        <f t="shared" si="51"/>
        <v>0</v>
      </c>
      <c r="X504" s="11">
        <f t="shared" si="51"/>
        <v>0</v>
      </c>
      <c r="Y504" s="12">
        <f t="shared" si="51"/>
        <v>0</v>
      </c>
      <c r="Z504" s="13">
        <f t="shared" si="51"/>
        <v>0</v>
      </c>
    </row>
    <row r="505" spans="2:26" x14ac:dyDescent="0.25">
      <c r="M505" s="9">
        <v>503</v>
      </c>
      <c r="N505" s="10">
        <v>0</v>
      </c>
      <c r="O505" s="11">
        <v>0</v>
      </c>
      <c r="P505" s="12">
        <v>0</v>
      </c>
      <c r="Q505" s="13">
        <v>0</v>
      </c>
      <c r="V505" s="14">
        <f t="shared" si="46"/>
        <v>0.982421875</v>
      </c>
      <c r="W505" s="10">
        <f t="shared" si="51"/>
        <v>0</v>
      </c>
      <c r="X505" s="11">
        <f t="shared" si="51"/>
        <v>0</v>
      </c>
      <c r="Y505" s="12">
        <f t="shared" si="51"/>
        <v>0</v>
      </c>
      <c r="Z505" s="13">
        <f t="shared" si="51"/>
        <v>0</v>
      </c>
    </row>
    <row r="506" spans="2:26" x14ac:dyDescent="0.25">
      <c r="M506" s="9">
        <v>504</v>
      </c>
      <c r="N506" s="10">
        <v>0</v>
      </c>
      <c r="O506" s="11">
        <v>0</v>
      </c>
      <c r="P506" s="12">
        <v>0</v>
      </c>
      <c r="Q506" s="13">
        <v>0</v>
      </c>
      <c r="V506" s="14">
        <f t="shared" si="46"/>
        <v>0.984375</v>
      </c>
      <c r="W506" s="10">
        <f t="shared" si="51"/>
        <v>0</v>
      </c>
      <c r="X506" s="11">
        <f t="shared" si="51"/>
        <v>0</v>
      </c>
      <c r="Y506" s="12">
        <f t="shared" si="51"/>
        <v>0</v>
      </c>
      <c r="Z506" s="13">
        <f t="shared" si="51"/>
        <v>0</v>
      </c>
    </row>
    <row r="507" spans="2:26" x14ac:dyDescent="0.25">
      <c r="M507" s="9">
        <v>505</v>
      </c>
      <c r="N507" s="10">
        <v>0</v>
      </c>
      <c r="O507" s="11">
        <v>0</v>
      </c>
      <c r="P507" s="12">
        <v>0</v>
      </c>
      <c r="Q507" s="13">
        <v>0</v>
      </c>
      <c r="V507" s="14">
        <f t="shared" si="46"/>
        <v>0.986328125</v>
      </c>
      <c r="W507" s="10">
        <f t="shared" si="51"/>
        <v>0</v>
      </c>
      <c r="X507" s="11">
        <f t="shared" si="51"/>
        <v>0</v>
      </c>
      <c r="Y507" s="12">
        <f t="shared" si="51"/>
        <v>0</v>
      </c>
      <c r="Z507" s="13">
        <f t="shared" si="51"/>
        <v>0</v>
      </c>
    </row>
    <row r="508" spans="2:26" x14ac:dyDescent="0.25">
      <c r="M508" s="9">
        <v>506</v>
      </c>
      <c r="N508" s="10">
        <v>0</v>
      </c>
      <c r="O508" s="11">
        <v>0</v>
      </c>
      <c r="P508" s="12">
        <v>0</v>
      </c>
      <c r="Q508" s="13">
        <v>0</v>
      </c>
      <c r="V508" s="14">
        <f t="shared" si="46"/>
        <v>0.98828125</v>
      </c>
      <c r="W508" s="10">
        <f t="shared" si="51"/>
        <v>0</v>
      </c>
      <c r="X508" s="11">
        <f t="shared" si="51"/>
        <v>0</v>
      </c>
      <c r="Y508" s="12">
        <f t="shared" si="51"/>
        <v>0</v>
      </c>
      <c r="Z508" s="13">
        <f t="shared" si="51"/>
        <v>0</v>
      </c>
    </row>
    <row r="509" spans="2:26" x14ac:dyDescent="0.25">
      <c r="M509" s="9">
        <v>507</v>
      </c>
      <c r="N509" s="10">
        <v>0</v>
      </c>
      <c r="O509" s="11">
        <v>0</v>
      </c>
      <c r="P509" s="12">
        <v>0</v>
      </c>
      <c r="Q509" s="13">
        <v>0</v>
      </c>
      <c r="V509" s="14">
        <f t="shared" si="46"/>
        <v>0.990234375</v>
      </c>
      <c r="W509" s="10">
        <f t="shared" si="51"/>
        <v>0</v>
      </c>
      <c r="X509" s="11">
        <f t="shared" si="51"/>
        <v>0</v>
      </c>
      <c r="Y509" s="12">
        <f t="shared" si="51"/>
        <v>0</v>
      </c>
      <c r="Z509" s="13">
        <f t="shared" si="51"/>
        <v>0</v>
      </c>
    </row>
    <row r="510" spans="2:26" x14ac:dyDescent="0.25">
      <c r="M510" s="9">
        <v>508</v>
      </c>
      <c r="N510" s="10">
        <v>0</v>
      </c>
      <c r="O510" s="11">
        <v>0</v>
      </c>
      <c r="P510" s="12">
        <v>0</v>
      </c>
      <c r="Q510" s="13">
        <v>0</v>
      </c>
      <c r="V510" s="14">
        <f t="shared" si="46"/>
        <v>0.9921875</v>
      </c>
      <c r="W510" s="10">
        <f t="shared" si="51"/>
        <v>0</v>
      </c>
      <c r="X510" s="11">
        <f t="shared" si="51"/>
        <v>0</v>
      </c>
      <c r="Y510" s="12">
        <f t="shared" si="51"/>
        <v>0</v>
      </c>
      <c r="Z510" s="13">
        <f t="shared" si="51"/>
        <v>0</v>
      </c>
    </row>
    <row r="511" spans="2:26" x14ac:dyDescent="0.25">
      <c r="M511" s="9">
        <v>509</v>
      </c>
      <c r="N511" s="10">
        <v>0</v>
      </c>
      <c r="O511" s="11">
        <v>0</v>
      </c>
      <c r="P511" s="12">
        <v>0</v>
      </c>
      <c r="Q511" s="13">
        <v>0</v>
      </c>
      <c r="V511" s="14">
        <f t="shared" si="46"/>
        <v>0.994140625</v>
      </c>
      <c r="W511" s="10">
        <f t="shared" si="51"/>
        <v>0</v>
      </c>
      <c r="X511" s="11">
        <f t="shared" si="51"/>
        <v>0</v>
      </c>
      <c r="Y511" s="12">
        <f t="shared" si="51"/>
        <v>0</v>
      </c>
      <c r="Z511" s="13">
        <f t="shared" si="51"/>
        <v>0</v>
      </c>
    </row>
    <row r="512" spans="2:26" x14ac:dyDescent="0.25">
      <c r="M512" s="9">
        <v>510</v>
      </c>
      <c r="N512" s="10">
        <v>0</v>
      </c>
      <c r="O512" s="11">
        <v>0</v>
      </c>
      <c r="P512" s="12">
        <v>0</v>
      </c>
      <c r="Q512" s="13">
        <v>0</v>
      </c>
      <c r="V512" s="14">
        <f t="shared" si="46"/>
        <v>0.99609375</v>
      </c>
      <c r="W512" s="10">
        <f t="shared" si="51"/>
        <v>0</v>
      </c>
      <c r="X512" s="11">
        <f t="shared" si="51"/>
        <v>0</v>
      </c>
      <c r="Y512" s="12">
        <f t="shared" si="51"/>
        <v>0</v>
      </c>
      <c r="Z512" s="13">
        <f t="shared" si="51"/>
        <v>0</v>
      </c>
    </row>
    <row r="513" spans="13:26" x14ac:dyDescent="0.25">
      <c r="M513" s="9">
        <v>511</v>
      </c>
      <c r="N513" s="10">
        <v>0</v>
      </c>
      <c r="O513" s="11">
        <v>0</v>
      </c>
      <c r="P513" s="12">
        <v>0</v>
      </c>
      <c r="Q513" s="13">
        <v>0</v>
      </c>
      <c r="V513" s="14">
        <f t="shared" si="46"/>
        <v>0.998046875</v>
      </c>
      <c r="W513" s="10">
        <f t="shared" si="51"/>
        <v>0</v>
      </c>
      <c r="X513" s="11">
        <f t="shared" si="51"/>
        <v>0</v>
      </c>
      <c r="Y513" s="12">
        <f t="shared" si="51"/>
        <v>0</v>
      </c>
      <c r="Z513" s="13">
        <f t="shared" si="51"/>
        <v>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Sheet0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Julian Broude</cp:lastModifiedBy>
  <dcterms:created xsi:type="dcterms:W3CDTF">2021-01-08T17:46:37Z</dcterms:created>
  <dcterms:modified xsi:type="dcterms:W3CDTF">2021-01-17T08:26:27Z</dcterms:modified>
</cp:coreProperties>
</file>