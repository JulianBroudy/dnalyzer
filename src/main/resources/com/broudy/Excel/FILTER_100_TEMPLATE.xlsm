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Julian\Documents\Lama\StackOverflow\DNAnalyzer\src\main\resources\com\broudy\Excel\"/>
    </mc:Choice>
  </mc:AlternateContent>
  <xr:revisionPtr revIDLastSave="0" documentId="13_ncr:1_{2E766E05-C455-424B-BF6A-AA1B8CBC5C75}" xr6:coauthVersionLast="46" xr6:coauthVersionMax="46" xr10:uidLastSave="{00000000-0000-0000-0000-000000000000}"/>
  <bookViews>
    <workbookView xWindow="-109" yWindow="-109" windowWidth="26301" windowHeight="14305" activeTab="2" xr2:uid="{00000000-000D-0000-FFFF-FFFF00000000}"/>
  </bookViews>
  <sheets>
    <sheet name="Sheet0" sheetId="1" r:id="rId1"/>
    <sheet name="Sheet1" sheetId="2" r:id="rId2"/>
    <sheet name="Sheet2" sheetId="3" r:id="rId3"/>
    <sheet name="Sheet3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3" l="1" a="1"/>
  <c r="C4" i="3" s="1"/>
  <c r="D4" i="3" a="1"/>
  <c r="D4" i="3" s="1"/>
  <c r="E4" i="3" a="1"/>
  <c r="E4" i="3"/>
  <c r="F4" i="3" a="1"/>
  <c r="F4" i="3" s="1"/>
  <c r="C5" i="3" a="1"/>
  <c r="C5" i="3" s="1"/>
  <c r="D5" i="3" a="1"/>
  <c r="D5" i="3" s="1"/>
  <c r="E5" i="3" a="1"/>
  <c r="E5" i="3" s="1"/>
  <c r="F5" i="3" a="1"/>
  <c r="F5" i="3" s="1"/>
  <c r="C6" i="3" a="1"/>
  <c r="C6" i="3" s="1"/>
  <c r="D6" i="3" a="1"/>
  <c r="D6" i="3" s="1"/>
  <c r="E6" i="3" a="1"/>
  <c r="E6" i="3" s="1"/>
  <c r="F6" i="3" a="1"/>
  <c r="F6" i="3" s="1"/>
  <c r="C7" i="3" a="1"/>
  <c r="C7" i="3" s="1"/>
  <c r="D7" i="3" a="1"/>
  <c r="D7" i="3" s="1"/>
  <c r="E7" i="3" a="1"/>
  <c r="E7" i="3" s="1"/>
  <c r="F7" i="3" a="1"/>
  <c r="F7" i="3" s="1"/>
  <c r="C8" i="3" a="1"/>
  <c r="C8" i="3" s="1"/>
  <c r="D8" i="3" a="1"/>
  <c r="D8" i="3" s="1"/>
  <c r="E8" i="3" a="1"/>
  <c r="E8" i="3" s="1"/>
  <c r="F8" i="3" a="1"/>
  <c r="F8" i="3" s="1"/>
  <c r="C9" i="3" a="1"/>
  <c r="C9" i="3" s="1"/>
  <c r="D9" i="3" a="1"/>
  <c r="D9" i="3" s="1"/>
  <c r="E9" i="3" a="1"/>
  <c r="E9" i="3" s="1"/>
  <c r="F9" i="3" a="1"/>
  <c r="F9" i="3" s="1"/>
  <c r="C10" i="3" a="1"/>
  <c r="C10" i="3" s="1"/>
  <c r="D10" i="3" a="1"/>
  <c r="D10" i="3" s="1"/>
  <c r="E10" i="3" a="1"/>
  <c r="E10" i="3"/>
  <c r="F10" i="3" a="1"/>
  <c r="F10" i="3" s="1"/>
  <c r="C11" i="3" a="1"/>
  <c r="C11" i="3" s="1"/>
  <c r="D11" i="3" a="1"/>
  <c r="D11" i="3" s="1"/>
  <c r="E11" i="3" a="1"/>
  <c r="E11" i="3"/>
  <c r="F11" i="3" a="1"/>
  <c r="F11" i="3" s="1"/>
  <c r="C12" i="3" a="1"/>
  <c r="C12" i="3" s="1"/>
  <c r="D12" i="3" a="1"/>
  <c r="D12" i="3" s="1"/>
  <c r="E12" i="3" a="1"/>
  <c r="E12" i="3" s="1"/>
  <c r="F12" i="3" a="1"/>
  <c r="F12" i="3" s="1"/>
  <c r="C13" i="3" a="1"/>
  <c r="C13" i="3" s="1"/>
  <c r="D13" i="3" a="1"/>
  <c r="D13" i="3" s="1"/>
  <c r="E13" i="3" a="1"/>
  <c r="E13" i="3" s="1"/>
  <c r="F13" i="3" a="1"/>
  <c r="F13" i="3" s="1"/>
  <c r="C14" i="3" a="1"/>
  <c r="C14" i="3" s="1"/>
  <c r="D14" i="3" a="1"/>
  <c r="D14" i="3" s="1"/>
  <c r="E14" i="3" a="1"/>
  <c r="E14" i="3" s="1"/>
  <c r="F14" i="3" a="1"/>
  <c r="F14" i="3" s="1"/>
  <c r="C15" i="3" a="1"/>
  <c r="C15" i="3" s="1"/>
  <c r="D15" i="3" a="1"/>
  <c r="D15" i="3" s="1"/>
  <c r="E15" i="3" a="1"/>
  <c r="E15" i="3" s="1"/>
  <c r="F15" i="3" a="1"/>
  <c r="F15" i="3" s="1"/>
  <c r="C16" i="3" a="1"/>
  <c r="C16" i="3" s="1"/>
  <c r="D16" i="3" a="1"/>
  <c r="D16" i="3" s="1"/>
  <c r="E16" i="3" a="1"/>
  <c r="E16" i="3" s="1"/>
  <c r="F16" i="3" a="1"/>
  <c r="F16" i="3" s="1"/>
  <c r="C17" i="3" a="1"/>
  <c r="C17" i="3" s="1"/>
  <c r="D17" i="3" a="1"/>
  <c r="D17" i="3" s="1"/>
  <c r="E17" i="3" a="1"/>
  <c r="E17" i="3" s="1"/>
  <c r="F17" i="3" a="1"/>
  <c r="F17" i="3" s="1"/>
  <c r="C18" i="3" a="1"/>
  <c r="C18" i="3" s="1"/>
  <c r="D18" i="3" a="1"/>
  <c r="D18" i="3" s="1"/>
  <c r="E18" i="3" a="1"/>
  <c r="E18" i="3"/>
  <c r="F18" i="3" a="1"/>
  <c r="F18" i="3" s="1"/>
  <c r="C19" i="3" a="1"/>
  <c r="C19" i="3" s="1"/>
  <c r="D19" i="3" a="1"/>
  <c r="D19" i="3" s="1"/>
  <c r="E19" i="3" a="1"/>
  <c r="E19" i="3"/>
  <c r="F19" i="3" a="1"/>
  <c r="F19" i="3" s="1"/>
  <c r="C20" i="3" a="1"/>
  <c r="C20" i="3" s="1"/>
  <c r="D20" i="3" a="1"/>
  <c r="D20" i="3" s="1"/>
  <c r="E20" i="3" a="1"/>
  <c r="E20" i="3" s="1"/>
  <c r="F20" i="3" a="1"/>
  <c r="F20" i="3" s="1"/>
  <c r="C21" i="3" a="1"/>
  <c r="C21" i="3" s="1"/>
  <c r="D21" i="3" a="1"/>
  <c r="D21" i="3" s="1"/>
  <c r="E21" i="3" a="1"/>
  <c r="E21" i="3" s="1"/>
  <c r="F21" i="3" a="1"/>
  <c r="F21" i="3" s="1"/>
  <c r="C22" i="3" a="1"/>
  <c r="C22" i="3" s="1"/>
  <c r="D22" i="3" a="1"/>
  <c r="D22" i="3" s="1"/>
  <c r="E22" i="3" a="1"/>
  <c r="E22" i="3" s="1"/>
  <c r="F22" i="3" a="1"/>
  <c r="F22" i="3" s="1"/>
  <c r="C23" i="3" a="1"/>
  <c r="C23" i="3" s="1"/>
  <c r="D23" i="3" a="1"/>
  <c r="D23" i="3" s="1"/>
  <c r="E23" i="3" a="1"/>
  <c r="E23" i="3" s="1"/>
  <c r="F23" i="3" a="1"/>
  <c r="F23" i="3" s="1"/>
  <c r="C24" i="3" a="1"/>
  <c r="C24" i="3" s="1"/>
  <c r="D24" i="3" a="1"/>
  <c r="D24" i="3" s="1"/>
  <c r="E24" i="3" a="1"/>
  <c r="E24" i="3" s="1"/>
  <c r="F24" i="3" a="1"/>
  <c r="F24" i="3" s="1"/>
  <c r="C25" i="3" a="1"/>
  <c r="C25" i="3" s="1"/>
  <c r="D25" i="3" a="1"/>
  <c r="D25" i="3" s="1"/>
  <c r="E25" i="3" a="1"/>
  <c r="E25" i="3" s="1"/>
  <c r="F25" i="3" a="1"/>
  <c r="F25" i="3" s="1"/>
  <c r="C26" i="3" a="1"/>
  <c r="C26" i="3" s="1"/>
  <c r="D26" i="3" a="1"/>
  <c r="D26" i="3" s="1"/>
  <c r="E26" i="3" a="1"/>
  <c r="E26" i="3"/>
  <c r="F26" i="3" a="1"/>
  <c r="F26" i="3" s="1"/>
  <c r="C27" i="3" a="1"/>
  <c r="C27" i="3" s="1"/>
  <c r="D27" i="3" a="1"/>
  <c r="D27" i="3" s="1"/>
  <c r="E27" i="3" a="1"/>
  <c r="E27" i="3"/>
  <c r="F27" i="3" a="1"/>
  <c r="F27" i="3" s="1"/>
  <c r="C28" i="3" a="1"/>
  <c r="C28" i="3" s="1"/>
  <c r="D28" i="3" a="1"/>
  <c r="D28" i="3" s="1"/>
  <c r="E28" i="3" a="1"/>
  <c r="E28" i="3" s="1"/>
  <c r="F28" i="3" a="1"/>
  <c r="F28" i="3" s="1"/>
  <c r="C29" i="3" a="1"/>
  <c r="C29" i="3" s="1"/>
  <c r="D29" i="3" a="1"/>
  <c r="D29" i="3" s="1"/>
  <c r="E29" i="3" a="1"/>
  <c r="E29" i="3" s="1"/>
  <c r="F29" i="3" a="1"/>
  <c r="F29" i="3" s="1"/>
  <c r="C30" i="3" a="1"/>
  <c r="C30" i="3" s="1"/>
  <c r="D30" i="3" a="1"/>
  <c r="D30" i="3" s="1"/>
  <c r="E30" i="3" a="1"/>
  <c r="E30" i="3" s="1"/>
  <c r="F30" i="3" a="1"/>
  <c r="F30" i="3" s="1"/>
  <c r="C31" i="3" a="1"/>
  <c r="C31" i="3" s="1"/>
  <c r="D31" i="3" a="1"/>
  <c r="D31" i="3" s="1"/>
  <c r="E31" i="3" a="1"/>
  <c r="E31" i="3" s="1"/>
  <c r="F31" i="3" a="1"/>
  <c r="F31" i="3" s="1"/>
  <c r="C32" i="3" a="1"/>
  <c r="C32" i="3" s="1"/>
  <c r="D32" i="3" a="1"/>
  <c r="D32" i="3" s="1"/>
  <c r="E32" i="3" a="1"/>
  <c r="E32" i="3" s="1"/>
  <c r="F32" i="3" a="1"/>
  <c r="F32" i="3" s="1"/>
  <c r="C33" i="3" a="1"/>
  <c r="C33" i="3" s="1"/>
  <c r="D33" i="3" a="1"/>
  <c r="D33" i="3" s="1"/>
  <c r="E33" i="3" a="1"/>
  <c r="E33" i="3" s="1"/>
  <c r="F33" i="3" a="1"/>
  <c r="F33" i="3" s="1"/>
  <c r="C34" i="3" a="1"/>
  <c r="C34" i="3" s="1"/>
  <c r="D34" i="3" a="1"/>
  <c r="D34" i="3" s="1"/>
  <c r="E34" i="3" a="1"/>
  <c r="E34" i="3"/>
  <c r="F34" i="3" a="1"/>
  <c r="F34" i="3" s="1"/>
  <c r="C35" i="3" a="1"/>
  <c r="C35" i="3" s="1"/>
  <c r="D35" i="3" a="1"/>
  <c r="D35" i="3" s="1"/>
  <c r="E35" i="3" a="1"/>
  <c r="E35" i="3"/>
  <c r="F35" i="3" a="1"/>
  <c r="F35" i="3" s="1"/>
  <c r="C36" i="3" a="1"/>
  <c r="C36" i="3" s="1"/>
  <c r="D36" i="3" a="1"/>
  <c r="D36" i="3" s="1"/>
  <c r="E36" i="3" a="1"/>
  <c r="E36" i="3" s="1"/>
  <c r="F36" i="3" a="1"/>
  <c r="F36" i="3" s="1"/>
  <c r="C37" i="3" a="1"/>
  <c r="C37" i="3" s="1"/>
  <c r="D37" i="3" a="1"/>
  <c r="D37" i="3" s="1"/>
  <c r="E37" i="3" a="1"/>
  <c r="E37" i="3" s="1"/>
  <c r="F37" i="3" a="1"/>
  <c r="F37" i="3" s="1"/>
  <c r="C38" i="3" a="1"/>
  <c r="C38" i="3" s="1"/>
  <c r="D38" i="3" a="1"/>
  <c r="D38" i="3" s="1"/>
  <c r="E38" i="3" a="1"/>
  <c r="E38" i="3" s="1"/>
  <c r="F38" i="3" a="1"/>
  <c r="F38" i="3" s="1"/>
  <c r="C39" i="3" a="1"/>
  <c r="C39" i="3" s="1"/>
  <c r="D39" i="3" a="1"/>
  <c r="D39" i="3" s="1"/>
  <c r="E39" i="3" a="1"/>
  <c r="E39" i="3" s="1"/>
  <c r="F39" i="3" a="1"/>
  <c r="F39" i="3" s="1"/>
  <c r="C40" i="3" a="1"/>
  <c r="C40" i="3" s="1"/>
  <c r="D40" i="3" a="1"/>
  <c r="D40" i="3" s="1"/>
  <c r="E40" i="3" a="1"/>
  <c r="E40" i="3" s="1"/>
  <c r="F40" i="3" a="1"/>
  <c r="F40" i="3" s="1"/>
  <c r="C41" i="3" a="1"/>
  <c r="C41" i="3" s="1"/>
  <c r="D41" i="3" a="1"/>
  <c r="D41" i="3" s="1"/>
  <c r="E41" i="3" a="1"/>
  <c r="E41" i="3" s="1"/>
  <c r="F41" i="3" a="1"/>
  <c r="F41" i="3" s="1"/>
  <c r="C42" i="3" a="1"/>
  <c r="C42" i="3" s="1"/>
  <c r="D42" i="3" a="1"/>
  <c r="D42" i="3" s="1"/>
  <c r="E42" i="3" a="1"/>
  <c r="E42" i="3"/>
  <c r="F42" i="3" a="1"/>
  <c r="F42" i="3" s="1"/>
  <c r="C43" i="3" a="1"/>
  <c r="C43" i="3" s="1"/>
  <c r="D43" i="3" a="1"/>
  <c r="D43" i="3" s="1"/>
  <c r="E43" i="3" a="1"/>
  <c r="E43" i="3"/>
  <c r="F43" i="3" a="1"/>
  <c r="F43" i="3" s="1"/>
  <c r="C44" i="3" a="1"/>
  <c r="C44" i="3" s="1"/>
  <c r="D44" i="3" a="1"/>
  <c r="D44" i="3" s="1"/>
  <c r="E44" i="3" a="1"/>
  <c r="E44" i="3" s="1"/>
  <c r="F44" i="3" a="1"/>
  <c r="F44" i="3" s="1"/>
  <c r="C45" i="3" a="1"/>
  <c r="C45" i="3" s="1"/>
  <c r="D45" i="3" a="1"/>
  <c r="D45" i="3" s="1"/>
  <c r="E45" i="3" a="1"/>
  <c r="E45" i="3" s="1"/>
  <c r="F45" i="3" a="1"/>
  <c r="F45" i="3" s="1"/>
  <c r="C46" i="3" a="1"/>
  <c r="C46" i="3" s="1"/>
  <c r="D46" i="3" a="1"/>
  <c r="D46" i="3" s="1"/>
  <c r="E46" i="3" a="1"/>
  <c r="E46" i="3" s="1"/>
  <c r="F46" i="3" a="1"/>
  <c r="F46" i="3" s="1"/>
  <c r="C47" i="3" a="1"/>
  <c r="C47" i="3" s="1"/>
  <c r="D47" i="3" a="1"/>
  <c r="D47" i="3" s="1"/>
  <c r="E47" i="3" a="1"/>
  <c r="E47" i="3" s="1"/>
  <c r="F47" i="3" a="1"/>
  <c r="F47" i="3" s="1"/>
  <c r="C48" i="3" a="1"/>
  <c r="C48" i="3" s="1"/>
  <c r="D48" i="3" a="1"/>
  <c r="D48" i="3" s="1"/>
  <c r="E48" i="3" a="1"/>
  <c r="E48" i="3" s="1"/>
  <c r="F48" i="3" a="1"/>
  <c r="F48" i="3" s="1"/>
  <c r="C49" i="3" a="1"/>
  <c r="C49" i="3" s="1"/>
  <c r="D49" i="3" a="1"/>
  <c r="D49" i="3" s="1"/>
  <c r="E49" i="3" a="1"/>
  <c r="E49" i="3" s="1"/>
  <c r="F49" i="3" a="1"/>
  <c r="F49" i="3" s="1"/>
  <c r="C50" i="3" a="1"/>
  <c r="C50" i="3" s="1"/>
  <c r="D50" i="3" a="1"/>
  <c r="D50" i="3" s="1"/>
  <c r="E50" i="3" a="1"/>
  <c r="E50" i="3"/>
  <c r="F50" i="3" a="1"/>
  <c r="F50" i="3" s="1"/>
  <c r="C51" i="3" a="1"/>
  <c r="C51" i="3" s="1"/>
  <c r="D51" i="3" a="1"/>
  <c r="D51" i="3" s="1"/>
  <c r="E51" i="3" a="1"/>
  <c r="E51" i="3"/>
  <c r="F51" i="3" a="1"/>
  <c r="F51" i="3" s="1"/>
  <c r="C52" i="3" a="1"/>
  <c r="C52" i="3" s="1"/>
  <c r="D52" i="3" a="1"/>
  <c r="D52" i="3" s="1"/>
  <c r="E52" i="3" a="1"/>
  <c r="E52" i="3" s="1"/>
  <c r="F52" i="3" a="1"/>
  <c r="F52" i="3" s="1"/>
  <c r="C53" i="3" a="1"/>
  <c r="C53" i="3" s="1"/>
  <c r="D53" i="3" a="1"/>
  <c r="D53" i="3" s="1"/>
  <c r="E53" i="3" a="1"/>
  <c r="E53" i="3" s="1"/>
  <c r="F53" i="3" a="1"/>
  <c r="F53" i="3" s="1"/>
  <c r="C54" i="3" a="1"/>
  <c r="C54" i="3" s="1"/>
  <c r="D54" i="3" a="1"/>
  <c r="D54" i="3" s="1"/>
  <c r="E54" i="3" a="1"/>
  <c r="E54" i="3" s="1"/>
  <c r="F54" i="3" a="1"/>
  <c r="F54" i="3" s="1"/>
  <c r="C55" i="3" a="1"/>
  <c r="C55" i="3" s="1"/>
  <c r="D55" i="3" a="1"/>
  <c r="D55" i="3" s="1"/>
  <c r="E55" i="3" a="1"/>
  <c r="E55" i="3" s="1"/>
  <c r="F55" i="3" a="1"/>
  <c r="F55" i="3" s="1"/>
  <c r="C56" i="3" a="1"/>
  <c r="C56" i="3" s="1"/>
  <c r="D56" i="3" a="1"/>
  <c r="D56" i="3" s="1"/>
  <c r="E56" i="3" a="1"/>
  <c r="E56" i="3" s="1"/>
  <c r="F56" i="3" a="1"/>
  <c r="F56" i="3" s="1"/>
  <c r="C57" i="3" a="1"/>
  <c r="C57" i="3" s="1"/>
  <c r="D57" i="3" a="1"/>
  <c r="D57" i="3" s="1"/>
  <c r="E57" i="3" a="1"/>
  <c r="E57" i="3" s="1"/>
  <c r="F57" i="3" a="1"/>
  <c r="F57" i="3" s="1"/>
  <c r="C58" i="3" a="1"/>
  <c r="C58" i="3" s="1"/>
  <c r="D58" i="3" a="1"/>
  <c r="D58" i="3" s="1"/>
  <c r="E58" i="3" a="1"/>
  <c r="E58" i="3"/>
  <c r="F58" i="3" a="1"/>
  <c r="F58" i="3" s="1"/>
  <c r="C59" i="3" a="1"/>
  <c r="C59" i="3" s="1"/>
  <c r="D59" i="3" a="1"/>
  <c r="D59" i="3" s="1"/>
  <c r="E59" i="3" a="1"/>
  <c r="E59" i="3"/>
  <c r="F59" i="3" a="1"/>
  <c r="F59" i="3" s="1"/>
  <c r="C60" i="3" a="1"/>
  <c r="C60" i="3" s="1"/>
  <c r="D60" i="3" a="1"/>
  <c r="D60" i="3" s="1"/>
  <c r="E60" i="3" a="1"/>
  <c r="E60" i="3" s="1"/>
  <c r="F60" i="3" a="1"/>
  <c r="F60" i="3" s="1"/>
  <c r="C61" i="3" a="1"/>
  <c r="C61" i="3" s="1"/>
  <c r="D61" i="3" a="1"/>
  <c r="D61" i="3" s="1"/>
  <c r="E61" i="3" a="1"/>
  <c r="E61" i="3" s="1"/>
  <c r="F61" i="3" a="1"/>
  <c r="F61" i="3" s="1"/>
  <c r="C62" i="3" a="1"/>
  <c r="C62" i="3" s="1"/>
  <c r="D62" i="3" a="1"/>
  <c r="D62" i="3" s="1"/>
  <c r="E62" i="3" a="1"/>
  <c r="E62" i="3" s="1"/>
  <c r="F62" i="3" a="1"/>
  <c r="F62" i="3" s="1"/>
  <c r="C63" i="3" a="1"/>
  <c r="C63" i="3" s="1"/>
  <c r="D63" i="3" a="1"/>
  <c r="D63" i="3" s="1"/>
  <c r="E63" i="3" a="1"/>
  <c r="E63" i="3" s="1"/>
  <c r="F63" i="3" a="1"/>
  <c r="F63" i="3" s="1"/>
  <c r="C64" i="3" a="1"/>
  <c r="C64" i="3" s="1"/>
  <c r="D64" i="3" a="1"/>
  <c r="D64" i="3" s="1"/>
  <c r="E64" i="3" a="1"/>
  <c r="E64" i="3" s="1"/>
  <c r="F64" i="3" a="1"/>
  <c r="F64" i="3" s="1"/>
  <c r="C65" i="3" a="1"/>
  <c r="C65" i="3" s="1"/>
  <c r="D65" i="3" a="1"/>
  <c r="D65" i="3" s="1"/>
  <c r="E65" i="3" a="1"/>
  <c r="E65" i="3" s="1"/>
  <c r="F65" i="3" a="1"/>
  <c r="F65" i="3" s="1"/>
  <c r="C66" i="3" a="1"/>
  <c r="C66" i="3" s="1"/>
  <c r="D66" i="3" a="1"/>
  <c r="D66" i="3" s="1"/>
  <c r="E66" i="3" a="1"/>
  <c r="E66" i="3"/>
  <c r="F66" i="3" a="1"/>
  <c r="F66" i="3" s="1"/>
  <c r="C67" i="3" a="1"/>
  <c r="C67" i="3" s="1"/>
  <c r="D67" i="3" a="1"/>
  <c r="D67" i="3" s="1"/>
  <c r="E67" i="3" a="1"/>
  <c r="E67" i="3"/>
  <c r="F67" i="3" a="1"/>
  <c r="F67" i="3" s="1"/>
  <c r="C68" i="3" a="1"/>
  <c r="C68" i="3" s="1"/>
  <c r="D68" i="3" a="1"/>
  <c r="D68" i="3" s="1"/>
  <c r="E68" i="3" a="1"/>
  <c r="E68" i="3" s="1"/>
  <c r="F68" i="3" a="1"/>
  <c r="F68" i="3" s="1"/>
  <c r="C69" i="3" a="1"/>
  <c r="C69" i="3" s="1"/>
  <c r="D69" i="3" a="1"/>
  <c r="D69" i="3" s="1"/>
  <c r="E69" i="3" a="1"/>
  <c r="E69" i="3" s="1"/>
  <c r="F69" i="3" a="1"/>
  <c r="F69" i="3" s="1"/>
  <c r="C70" i="3" a="1"/>
  <c r="C70" i="3" s="1"/>
  <c r="D70" i="3" a="1"/>
  <c r="D70" i="3" s="1"/>
  <c r="E70" i="3" a="1"/>
  <c r="E70" i="3"/>
  <c r="F70" i="3" a="1"/>
  <c r="F70" i="3" s="1"/>
  <c r="C71" i="3" a="1"/>
  <c r="C71" i="3" s="1"/>
  <c r="D71" i="3" a="1"/>
  <c r="D71" i="3" s="1"/>
  <c r="E71" i="3" a="1"/>
  <c r="E71" i="3" s="1"/>
  <c r="F71" i="3" a="1"/>
  <c r="F71" i="3" s="1"/>
  <c r="C72" i="3" a="1"/>
  <c r="C72" i="3" s="1"/>
  <c r="D72" i="3" a="1"/>
  <c r="D72" i="3" s="1"/>
  <c r="E72" i="3" a="1"/>
  <c r="E72" i="3" s="1"/>
  <c r="F72" i="3" a="1"/>
  <c r="F72" i="3" s="1"/>
  <c r="C73" i="3" a="1"/>
  <c r="C73" i="3" s="1"/>
  <c r="D73" i="3" a="1"/>
  <c r="D73" i="3" s="1"/>
  <c r="E73" i="3" a="1"/>
  <c r="E73" i="3" s="1"/>
  <c r="F73" i="3" a="1"/>
  <c r="F73" i="3" s="1"/>
  <c r="C74" i="3" a="1"/>
  <c r="C74" i="3" s="1"/>
  <c r="D74" i="3" a="1"/>
  <c r="D74" i="3" s="1"/>
  <c r="E74" i="3" a="1"/>
  <c r="E74" i="3"/>
  <c r="F74" i="3" a="1"/>
  <c r="F74" i="3" s="1"/>
  <c r="C75" i="3" a="1"/>
  <c r="C75" i="3" s="1"/>
  <c r="D75" i="3" a="1"/>
  <c r="D75" i="3" s="1"/>
  <c r="E75" i="3" a="1"/>
  <c r="E75" i="3"/>
  <c r="F75" i="3" a="1"/>
  <c r="F75" i="3" s="1"/>
  <c r="C76" i="3" a="1"/>
  <c r="C76" i="3" s="1"/>
  <c r="D76" i="3" a="1"/>
  <c r="D76" i="3" s="1"/>
  <c r="E76" i="3" a="1"/>
  <c r="E76" i="3" s="1"/>
  <c r="F76" i="3" a="1"/>
  <c r="F76" i="3" s="1"/>
  <c r="C77" i="3" a="1"/>
  <c r="C77" i="3" s="1"/>
  <c r="D77" i="3" a="1"/>
  <c r="D77" i="3" s="1"/>
  <c r="E77" i="3" a="1"/>
  <c r="E77" i="3" s="1"/>
  <c r="F77" i="3" a="1"/>
  <c r="F77" i="3" s="1"/>
  <c r="C78" i="3" a="1"/>
  <c r="C78" i="3" s="1"/>
  <c r="D78" i="3" a="1"/>
  <c r="D78" i="3" s="1"/>
  <c r="E78" i="3" a="1"/>
  <c r="E78" i="3"/>
  <c r="F78" i="3" a="1"/>
  <c r="F78" i="3" s="1"/>
  <c r="C79" i="3" a="1"/>
  <c r="C79" i="3" s="1"/>
  <c r="D79" i="3" a="1"/>
  <c r="D79" i="3" s="1"/>
  <c r="E79" i="3" a="1"/>
  <c r="E79" i="3" s="1"/>
  <c r="F79" i="3" a="1"/>
  <c r="F79" i="3" s="1"/>
  <c r="C80" i="3" a="1"/>
  <c r="C80" i="3" s="1"/>
  <c r="D80" i="3" a="1"/>
  <c r="D80" i="3" s="1"/>
  <c r="E80" i="3" a="1"/>
  <c r="E80" i="3" s="1"/>
  <c r="F80" i="3" a="1"/>
  <c r="F80" i="3" s="1"/>
  <c r="C81" i="3" a="1"/>
  <c r="C81" i="3" s="1"/>
  <c r="D81" i="3" a="1"/>
  <c r="D81" i="3" s="1"/>
  <c r="E81" i="3" a="1"/>
  <c r="E81" i="3" s="1"/>
  <c r="F81" i="3" a="1"/>
  <c r="F81" i="3" s="1"/>
  <c r="C82" i="3" a="1"/>
  <c r="C82" i="3" s="1"/>
  <c r="D82" i="3" a="1"/>
  <c r="D82" i="3" s="1"/>
  <c r="E82" i="3" a="1"/>
  <c r="E82" i="3"/>
  <c r="F82" i="3" a="1"/>
  <c r="F82" i="3" s="1"/>
  <c r="C83" i="3" a="1"/>
  <c r="C83" i="3" s="1"/>
  <c r="D83" i="3" a="1"/>
  <c r="D83" i="3" s="1"/>
  <c r="E83" i="3" a="1"/>
  <c r="E83" i="3"/>
  <c r="F83" i="3" a="1"/>
  <c r="F83" i="3" s="1"/>
  <c r="C84" i="3" a="1"/>
  <c r="C84" i="3" s="1"/>
  <c r="D84" i="3" a="1"/>
  <c r="D84" i="3" s="1"/>
  <c r="E84" i="3" a="1"/>
  <c r="E84" i="3" s="1"/>
  <c r="F84" i="3" a="1"/>
  <c r="F84" i="3" s="1"/>
  <c r="C85" i="3" a="1"/>
  <c r="C85" i="3" s="1"/>
  <c r="D85" i="3" a="1"/>
  <c r="D85" i="3" s="1"/>
  <c r="E85" i="3" a="1"/>
  <c r="E85" i="3" s="1"/>
  <c r="F85" i="3" a="1"/>
  <c r="F85" i="3" s="1"/>
  <c r="C86" i="3" a="1"/>
  <c r="C86" i="3" s="1"/>
  <c r="D86" i="3" a="1"/>
  <c r="D86" i="3" s="1"/>
  <c r="E86" i="3" a="1"/>
  <c r="E86" i="3"/>
  <c r="F86" i="3" a="1"/>
  <c r="F86" i="3" s="1"/>
  <c r="C87" i="3" a="1"/>
  <c r="C87" i="3" s="1"/>
  <c r="D87" i="3" a="1"/>
  <c r="D87" i="3" s="1"/>
  <c r="E87" i="3" a="1"/>
  <c r="E87" i="3" s="1"/>
  <c r="F87" i="3" a="1"/>
  <c r="F87" i="3" s="1"/>
  <c r="C88" i="3" a="1"/>
  <c r="C88" i="3" s="1"/>
  <c r="D88" i="3" a="1"/>
  <c r="D88" i="3" s="1"/>
  <c r="E88" i="3" a="1"/>
  <c r="E88" i="3" s="1"/>
  <c r="F88" i="3" a="1"/>
  <c r="F88" i="3" s="1"/>
  <c r="C89" i="3" a="1"/>
  <c r="C89" i="3" s="1"/>
  <c r="D89" i="3" a="1"/>
  <c r="D89" i="3"/>
  <c r="E89" i="3" a="1"/>
  <c r="E89" i="3"/>
  <c r="F89" i="3" a="1"/>
  <c r="F89" i="3" s="1"/>
  <c r="C90" i="3" a="1"/>
  <c r="C90" i="3" s="1"/>
  <c r="D90" i="3" a="1"/>
  <c r="D90" i="3" s="1"/>
  <c r="E90" i="3" a="1"/>
  <c r="E90" i="3"/>
  <c r="F90" i="3" a="1"/>
  <c r="F90" i="3" s="1"/>
  <c r="C91" i="3" a="1"/>
  <c r="C91" i="3" s="1"/>
  <c r="D91" i="3" a="1"/>
  <c r="D91" i="3" s="1"/>
  <c r="E91" i="3" a="1"/>
  <c r="E91" i="3"/>
  <c r="F91" i="3" a="1"/>
  <c r="F91" i="3" s="1"/>
  <c r="C92" i="3" a="1"/>
  <c r="C92" i="3" s="1"/>
  <c r="D92" i="3" a="1"/>
  <c r="D92" i="3" s="1"/>
  <c r="E92" i="3" a="1"/>
  <c r="E92" i="3"/>
  <c r="F92" i="3" a="1"/>
  <c r="F92" i="3" s="1"/>
  <c r="C93" i="3" a="1"/>
  <c r="C93" i="3" s="1"/>
  <c r="D93" i="3" a="1"/>
  <c r="D93" i="3" s="1"/>
  <c r="E93" i="3" a="1"/>
  <c r="E93" i="3" s="1"/>
  <c r="F93" i="3" a="1"/>
  <c r="F93" i="3" s="1"/>
  <c r="C94" i="3" a="1"/>
  <c r="C94" i="3" s="1"/>
  <c r="D94" i="3" a="1"/>
  <c r="D94" i="3" s="1"/>
  <c r="E94" i="3" a="1"/>
  <c r="E94" i="3" s="1"/>
  <c r="F94" i="3" a="1"/>
  <c r="F94" i="3" s="1"/>
  <c r="C95" i="3" a="1"/>
  <c r="C95" i="3" s="1"/>
  <c r="D95" i="3" a="1"/>
  <c r="D95" i="3" s="1"/>
  <c r="E95" i="3" a="1"/>
  <c r="E95" i="3" s="1"/>
  <c r="F95" i="3" a="1"/>
  <c r="F95" i="3" s="1"/>
  <c r="C96" i="3" a="1"/>
  <c r="C96" i="3" s="1"/>
  <c r="D96" i="3" a="1"/>
  <c r="D96" i="3" s="1"/>
  <c r="E96" i="3" a="1"/>
  <c r="E96" i="3" s="1"/>
  <c r="F96" i="3" a="1"/>
  <c r="F96" i="3" s="1"/>
  <c r="C97" i="3" a="1"/>
  <c r="C97" i="3" s="1"/>
  <c r="D97" i="3" a="1"/>
  <c r="D97" i="3" s="1"/>
  <c r="E97" i="3" a="1"/>
  <c r="E97" i="3" s="1"/>
  <c r="F97" i="3" a="1"/>
  <c r="F97" i="3" s="1"/>
  <c r="C98" i="3" a="1"/>
  <c r="C98" i="3" s="1"/>
  <c r="D98" i="3" a="1"/>
  <c r="D98" i="3" s="1"/>
  <c r="E98" i="3" a="1"/>
  <c r="E98" i="3" s="1"/>
  <c r="F98" i="3" a="1"/>
  <c r="F98" i="3" s="1"/>
  <c r="C99" i="3" a="1"/>
  <c r="C99" i="3" s="1"/>
  <c r="D99" i="3" a="1"/>
  <c r="D99" i="3" s="1"/>
  <c r="E99" i="3" a="1"/>
  <c r="E99" i="3" s="1"/>
  <c r="F99" i="3" a="1"/>
  <c r="F99" i="3" s="1"/>
  <c r="F3" i="3" a="1"/>
  <c r="F3" i="3" s="1"/>
  <c r="E3" i="3" a="1"/>
  <c r="E3" i="3" s="1"/>
  <c r="D3" i="3" a="1"/>
  <c r="D3" i="3" s="1"/>
  <c r="C3" i="3" a="1"/>
  <c r="C3" i="3" s="1"/>
  <c r="V3" i="3"/>
  <c r="V4" i="3"/>
  <c r="V5" i="3"/>
  <c r="V6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2" i="3"/>
  <c r="Z4" i="3" l="1"/>
  <c r="Z5" i="3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Y4" i="3"/>
  <c r="Y5" i="3"/>
  <c r="Y6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X4" i="3"/>
  <c r="X5" i="3"/>
  <c r="X6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3" i="3"/>
  <c r="Y3" i="3"/>
  <c r="Z3" i="3"/>
  <c r="W4" i="3"/>
  <c r="W5" i="3"/>
  <c r="W6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3" i="3"/>
  <c r="A1" i="3" l="1"/>
  <c r="Q5" i="3" l="1"/>
  <c r="Q7" i="3"/>
  <c r="Q9" i="3"/>
  <c r="Q11" i="3"/>
  <c r="P13" i="3"/>
  <c r="P15" i="3"/>
  <c r="P17" i="3"/>
  <c r="O19" i="3"/>
  <c r="O21" i="3"/>
  <c r="O23" i="3"/>
  <c r="O25" i="3"/>
  <c r="N27" i="3"/>
  <c r="N29" i="3"/>
  <c r="N31" i="3"/>
  <c r="N33" i="3"/>
  <c r="Q34" i="3"/>
  <c r="P36" i="3"/>
  <c r="P38" i="3"/>
  <c r="P40" i="3"/>
  <c r="P42" i="3"/>
  <c r="P44" i="3"/>
  <c r="P46" i="3"/>
  <c r="P48" i="3"/>
  <c r="P50" i="3"/>
  <c r="O52" i="3"/>
  <c r="O54" i="3"/>
  <c r="O56" i="3"/>
  <c r="O58" i="3"/>
  <c r="N60" i="3"/>
  <c r="N62" i="3"/>
  <c r="N64" i="3"/>
  <c r="N66" i="3"/>
  <c r="N68" i="3"/>
  <c r="N70" i="3"/>
  <c r="N72" i="3"/>
  <c r="N74" i="3"/>
  <c r="N76" i="3"/>
  <c r="N78" i="3"/>
  <c r="N80" i="3"/>
  <c r="N82" i="3"/>
  <c r="N84" i="3"/>
  <c r="Q85" i="3"/>
  <c r="Q87" i="3"/>
  <c r="Q89" i="3"/>
  <c r="O91" i="3"/>
  <c r="N93" i="3"/>
  <c r="Q96" i="3"/>
  <c r="N4" i="3"/>
  <c r="N6" i="3"/>
  <c r="N8" i="3"/>
  <c r="N10" i="3"/>
  <c r="Q13" i="3"/>
  <c r="Q15" i="3"/>
  <c r="Q17" i="3"/>
  <c r="P19" i="3"/>
  <c r="P21" i="3"/>
  <c r="P23" i="3"/>
  <c r="P25" i="3"/>
  <c r="O27" i="3"/>
  <c r="O29" i="3"/>
  <c r="O31" i="3"/>
  <c r="O33" i="3"/>
  <c r="N35" i="3"/>
  <c r="Q36" i="3"/>
  <c r="Q38" i="3"/>
  <c r="Q40" i="3"/>
  <c r="Q42" i="3"/>
  <c r="Q44" i="3"/>
  <c r="Q46" i="3"/>
  <c r="Q48" i="3"/>
  <c r="Q50" i="3"/>
  <c r="P52" i="3"/>
  <c r="P54" i="3"/>
  <c r="P56" i="3"/>
  <c r="P58" i="3"/>
  <c r="O60" i="3"/>
  <c r="O62" i="3"/>
  <c r="O64" i="3"/>
  <c r="O66" i="3"/>
  <c r="O68" i="3"/>
  <c r="O70" i="3"/>
  <c r="O72" i="3"/>
  <c r="O74" i="3"/>
  <c r="O76" i="3"/>
  <c r="O78" i="3"/>
  <c r="O80" i="3"/>
  <c r="O82" i="3"/>
  <c r="O84" i="3"/>
  <c r="N86" i="3"/>
  <c r="N88" i="3"/>
  <c r="P91" i="3"/>
  <c r="O93" i="3"/>
  <c r="N95" i="3"/>
  <c r="N97" i="3"/>
  <c r="P98" i="3"/>
  <c r="O4" i="3"/>
  <c r="O6" i="3"/>
  <c r="O8" i="3"/>
  <c r="O10" i="3"/>
  <c r="N12" i="3"/>
  <c r="N14" i="3"/>
  <c r="N16" i="3"/>
  <c r="Q19" i="3"/>
  <c r="Q21" i="3"/>
  <c r="Q23" i="3"/>
  <c r="Q25" i="3"/>
  <c r="P27" i="3"/>
  <c r="P29" i="3"/>
  <c r="P31" i="3"/>
  <c r="P33" i="3"/>
  <c r="O35" i="3"/>
  <c r="N37" i="3"/>
  <c r="N39" i="3"/>
  <c r="N41" i="3"/>
  <c r="N43" i="3"/>
  <c r="N45" i="3"/>
  <c r="N47" i="3"/>
  <c r="N49" i="3"/>
  <c r="N51" i="3"/>
  <c r="Q52" i="3"/>
  <c r="Q54" i="3"/>
  <c r="Q56" i="3"/>
  <c r="Q58" i="3"/>
  <c r="P60" i="3"/>
  <c r="P62" i="3"/>
  <c r="P64" i="3"/>
  <c r="P66" i="3"/>
  <c r="P68" i="3"/>
  <c r="P70" i="3"/>
  <c r="P72" i="3"/>
  <c r="P74" i="3"/>
  <c r="P76" i="3"/>
  <c r="P78" i="3"/>
  <c r="P80" i="3"/>
  <c r="P82" i="3"/>
  <c r="P84" i="3"/>
  <c r="O86" i="3"/>
  <c r="P4" i="3"/>
  <c r="P6" i="3"/>
  <c r="P8" i="3"/>
  <c r="P10" i="3"/>
  <c r="O12" i="3"/>
  <c r="O14" i="3"/>
  <c r="O16" i="3"/>
  <c r="N18" i="3"/>
  <c r="N20" i="3"/>
  <c r="N22" i="3"/>
  <c r="N24" i="3"/>
  <c r="Q27" i="3"/>
  <c r="Q29" i="3"/>
  <c r="Q31" i="3"/>
  <c r="Q33" i="3"/>
  <c r="P35" i="3"/>
  <c r="O37" i="3"/>
  <c r="O39" i="3"/>
  <c r="O41" i="3"/>
  <c r="O43" i="3"/>
  <c r="O45" i="3"/>
  <c r="O47" i="3"/>
  <c r="O49" i="3"/>
  <c r="O51" i="3"/>
  <c r="N53" i="3"/>
  <c r="N55" i="3"/>
  <c r="N57" i="3"/>
  <c r="N59" i="3"/>
  <c r="Q60" i="3"/>
  <c r="Q62" i="3"/>
  <c r="Q4" i="3"/>
  <c r="Q6" i="3"/>
  <c r="Q8" i="3"/>
  <c r="Q10" i="3"/>
  <c r="P12" i="3"/>
  <c r="P14" i="3"/>
  <c r="P16" i="3"/>
  <c r="O18" i="3"/>
  <c r="O20" i="3"/>
  <c r="O22" i="3"/>
  <c r="O24" i="3"/>
  <c r="N26" i="3"/>
  <c r="N28" i="3"/>
  <c r="N30" i="3"/>
  <c r="N32" i="3"/>
  <c r="Q35" i="3"/>
  <c r="P37" i="3"/>
  <c r="P39" i="3"/>
  <c r="P41" i="3"/>
  <c r="P43" i="3"/>
  <c r="P45" i="3"/>
  <c r="P47" i="3"/>
  <c r="P49" i="3"/>
  <c r="P51" i="3"/>
  <c r="O53" i="3"/>
  <c r="O55" i="3"/>
  <c r="O57" i="3"/>
  <c r="O59" i="3"/>
  <c r="N61" i="3"/>
  <c r="N63" i="3"/>
  <c r="N65" i="3"/>
  <c r="N67" i="3"/>
  <c r="N69" i="3"/>
  <c r="N71" i="3"/>
  <c r="N7" i="3"/>
  <c r="N9" i="3"/>
  <c r="N11" i="3"/>
  <c r="Q12" i="3"/>
  <c r="Q14" i="3"/>
  <c r="Q16" i="3"/>
  <c r="P18" i="3"/>
  <c r="P20" i="3"/>
  <c r="P22" i="3"/>
  <c r="P24" i="3"/>
  <c r="O26" i="3"/>
  <c r="O28" i="3"/>
  <c r="O30" i="3"/>
  <c r="O32" i="3"/>
  <c r="N34" i="3"/>
  <c r="Q37" i="3"/>
  <c r="Q39" i="3"/>
  <c r="Q41" i="3"/>
  <c r="Q43" i="3"/>
  <c r="Q45" i="3"/>
  <c r="Q47" i="3"/>
  <c r="Q49" i="3"/>
  <c r="Q51" i="3"/>
  <c r="P53" i="3"/>
  <c r="P55" i="3"/>
  <c r="P57" i="3"/>
  <c r="P59" i="3"/>
  <c r="O61" i="3"/>
  <c r="O63" i="3"/>
  <c r="O65" i="3"/>
  <c r="O67" i="3"/>
  <c r="O69" i="3"/>
  <c r="O71" i="3"/>
  <c r="O73" i="3"/>
  <c r="O75" i="3"/>
  <c r="O77" i="3"/>
  <c r="O79" i="3"/>
  <c r="O81" i="3"/>
  <c r="O83" i="3"/>
  <c r="N85" i="3"/>
  <c r="N87" i="3"/>
  <c r="N89" i="3"/>
  <c r="P92" i="3"/>
  <c r="O94" i="3"/>
  <c r="N96" i="3"/>
  <c r="Q97" i="3"/>
  <c r="P99" i="3"/>
  <c r="O5" i="3"/>
  <c r="O7" i="3"/>
  <c r="O9" i="3"/>
  <c r="O11" i="3"/>
  <c r="N13" i="3"/>
  <c r="N15" i="3"/>
  <c r="N17" i="3"/>
  <c r="Q18" i="3"/>
  <c r="Q20" i="3"/>
  <c r="Q22" i="3"/>
  <c r="Q24" i="3"/>
  <c r="P26" i="3"/>
  <c r="P28" i="3"/>
  <c r="P30" i="3"/>
  <c r="P32" i="3"/>
  <c r="O34" i="3"/>
  <c r="N36" i="3"/>
  <c r="N38" i="3"/>
  <c r="N40" i="3"/>
  <c r="N42" i="3"/>
  <c r="N44" i="3"/>
  <c r="N46" i="3"/>
  <c r="N48" i="3"/>
  <c r="N50" i="3"/>
  <c r="Q53" i="3"/>
  <c r="P7" i="3"/>
  <c r="P9" i="3"/>
  <c r="P11" i="3"/>
  <c r="O13" i="3"/>
  <c r="O15" i="3"/>
  <c r="O17" i="3"/>
  <c r="N19" i="3"/>
  <c r="N21" i="3"/>
  <c r="N23" i="3"/>
  <c r="N25" i="3"/>
  <c r="Q26" i="3"/>
  <c r="Q28" i="3"/>
  <c r="Q30" i="3"/>
  <c r="Q32" i="3"/>
  <c r="P34" i="3"/>
  <c r="O36" i="3"/>
  <c r="O38" i="3"/>
  <c r="O40" i="3"/>
  <c r="O42" i="3"/>
  <c r="O44" i="3"/>
  <c r="O46" i="3"/>
  <c r="O48" i="3"/>
  <c r="O50" i="3"/>
  <c r="N52" i="3"/>
  <c r="N54" i="3"/>
  <c r="N56" i="3"/>
  <c r="N58" i="3"/>
  <c r="Q61" i="3"/>
  <c r="Q63" i="3"/>
  <c r="Q65" i="3"/>
  <c r="Q67" i="3"/>
  <c r="Q69" i="3"/>
  <c r="Q71" i="3"/>
  <c r="Q73" i="3"/>
  <c r="Q75" i="3"/>
  <c r="Q77" i="3"/>
  <c r="Q79" i="3"/>
  <c r="Q81" i="3"/>
  <c r="Q83" i="3"/>
  <c r="P85" i="3"/>
  <c r="P87" i="3"/>
  <c r="P89" i="3"/>
  <c r="N91" i="3"/>
  <c r="Q94" i="3"/>
  <c r="P96" i="3"/>
  <c r="O98" i="3"/>
  <c r="Q66" i="3"/>
  <c r="P73" i="3"/>
  <c r="N79" i="3"/>
  <c r="Q84" i="3"/>
  <c r="Q88" i="3"/>
  <c r="O92" i="3"/>
  <c r="Q95" i="3"/>
  <c r="O99" i="3"/>
  <c r="Q55" i="3"/>
  <c r="P67" i="3"/>
  <c r="Q74" i="3"/>
  <c r="P79" i="3"/>
  <c r="O89" i="3"/>
  <c r="Q92" i="3"/>
  <c r="O96" i="3"/>
  <c r="Q99" i="3"/>
  <c r="Q57" i="3"/>
  <c r="Q68" i="3"/>
  <c r="N75" i="3"/>
  <c r="Q80" i="3"/>
  <c r="O85" i="3"/>
  <c r="N90" i="3"/>
  <c r="P93" i="3"/>
  <c r="O97" i="3"/>
  <c r="Q59" i="3"/>
  <c r="P69" i="3"/>
  <c r="P75" i="3"/>
  <c r="N81" i="3"/>
  <c r="P86" i="3"/>
  <c r="O90" i="3"/>
  <c r="Q93" i="3"/>
  <c r="P97" i="3"/>
  <c r="P61" i="3"/>
  <c r="Q70" i="3"/>
  <c r="Q76" i="3"/>
  <c r="P81" i="3"/>
  <c r="Q86" i="3"/>
  <c r="P90" i="3"/>
  <c r="N94" i="3"/>
  <c r="P63" i="3"/>
  <c r="P71" i="3"/>
  <c r="N77" i="3"/>
  <c r="Q82" i="3"/>
  <c r="O87" i="3"/>
  <c r="Q90" i="3"/>
  <c r="P94" i="3"/>
  <c r="N98" i="3"/>
  <c r="Q64" i="3"/>
  <c r="Q72" i="3"/>
  <c r="P77" i="3"/>
  <c r="N83" i="3"/>
  <c r="O88" i="3"/>
  <c r="Q91" i="3"/>
  <c r="O95" i="3"/>
  <c r="Q98" i="3"/>
  <c r="P65" i="3"/>
  <c r="N73" i="3"/>
  <c r="Q78" i="3"/>
  <c r="P83" i="3"/>
  <c r="P88" i="3"/>
  <c r="N92" i="3"/>
  <c r="P95" i="3"/>
  <c r="N99" i="3"/>
  <c r="P3" i="3"/>
  <c r="Q3" i="3"/>
  <c r="O3" i="3"/>
  <c r="N3" i="3"/>
  <c r="F2" i="3"/>
  <c r="Q1" i="3" s="1"/>
  <c r="Z1" i="3" s="1"/>
  <c r="E2" i="3"/>
  <c r="P1" i="3" s="1"/>
  <c r="Y1" i="3" s="1"/>
  <c r="D2" i="3"/>
  <c r="O1" i="3" s="1"/>
  <c r="X1" i="3" s="1"/>
  <c r="C2" i="3"/>
  <c r="N1" i="3" s="1"/>
  <c r="W1" i="3" s="1"/>
  <c r="P5" i="3" l="1"/>
  <c r="I3" i="3"/>
  <c r="I10" i="3" s="1"/>
  <c r="I2" i="3"/>
  <c r="I9" i="3" s="1"/>
  <c r="N5" i="3"/>
  <c r="H3" i="3"/>
  <c r="H10" i="3" s="1"/>
  <c r="H2" i="3"/>
  <c r="H9" i="3" s="1"/>
  <c r="J9" i="3" l="1"/>
  <c r="K10" i="3" s="1"/>
  <c r="K9" i="3" l="1"/>
  <c r="J3" i="3" s="1"/>
  <c r="K3" i="3" s="1"/>
  <c r="J2" i="3" l="1"/>
  <c r="K2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<sst xmlns="http://schemas.openxmlformats.org/spreadsheetml/2006/main" count="29" uniqueCount="24">
  <si>
    <t>Header:</t>
  </si>
  <si>
    <t>Target Site:</t>
  </si>
  <si>
    <t>ID</t>
  </si>
  <si>
    <t>Generated From</t>
  </si>
  <si>
    <t>Protonav</t>
  </si>
  <si>
    <t>Palimentary</t>
  </si>
  <si>
    <t>Indices</t>
  </si>
  <si>
    <t>Protonav Left Correlations</t>
  </si>
  <si>
    <t>Palimentary Left Correlations</t>
  </si>
  <si>
    <t>Protonav Right Correlations</t>
  </si>
  <si>
    <t>Palimentary Right Correlations</t>
  </si>
  <si>
    <t>Input ID here:</t>
  </si>
  <si>
    <t>Index</t>
  </si>
  <si>
    <t>k</t>
  </si>
  <si>
    <t>Imaginary</t>
  </si>
  <si>
    <t>Fr</t>
  </si>
  <si>
    <t>Max ID:</t>
  </si>
  <si>
    <t>Pattern</t>
  </si>
  <si>
    <t>Left Occurrences</t>
  </si>
  <si>
    <t>Right Occurrences</t>
  </si>
  <si>
    <t>Left Probability By Nucleotide</t>
  </si>
  <si>
    <t>Right Probability By Nucleotide</t>
  </si>
  <si>
    <t>Left Probability By Pairs</t>
  </si>
  <si>
    <t>Right Probability By Pairs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</si>
</sst>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indexed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2"/>
      <color indexed="8"/>
      <name val="Calibri"/>
      <family val="2"/>
      <scheme val="minor"/>
    </font>
    <font>
      <b/>
      <sz val="14"/>
      <color rgb="FF9C5700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2"/>
      <name val="Courier New"/>
      <family val="3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</cellStyleXfs>
  <cellXfs count="18">
    <xf numFmtId="0" fontId="0" fillId="0" borderId="0" xfId="0"/>
    <xf numFmtId="0" fontId="3" fillId="0" borderId="0" xfId="0" applyFont="1" applyAlignment="1">
      <alignment horizontal="center" vertical="center"/>
    </xf>
    <xf numFmtId="0" fontId="4" fillId="3" borderId="0" xfId="2" applyFont="1" applyAlignment="1">
      <alignment horizontal="center" vertical="center"/>
    </xf>
    <xf numFmtId="0" fontId="1" fillId="2" borderId="0" xfId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5" fillId="0" borderId="0" xfId="0" applyFont="1"/>
    <xf numFmtId="0" fontId="6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0" fillId="0" borderId="0" xfId="0" applyAlignment="1"/>
  </cellXfs>
  <cellStyles count="3">
    <cellStyle name="Good" xfId="1" builtinId="26"/>
    <cellStyle name="Neutral" xfId="2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Left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Sheet2!$C$2</c:f>
              <c:strCache>
                <c:ptCount val="1"/>
                <c:pt idx="0">
                  <c:v>#N/A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22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E31-4255-96E0-9CBA2F4D4463}"/>
              </c:ext>
            </c:extLst>
          </c:dPt>
          <c:val>
            <c:numRef>
              <c:f>Sheet2!$C$3:$C$99</c:f>
              <c:numCache>
                <c:formatCode>General</c:formatCode>
                <c:ptCount val="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66-4169-9B80-B3AA16F4E99C}"/>
            </c:ext>
          </c:extLst>
        </c:ser>
        <c:ser>
          <c:idx val="1"/>
          <c:order val="1"/>
          <c:tx>
            <c:strRef>
              <c:f>Sheet2!$D$2</c:f>
              <c:strCache>
                <c:ptCount val="1"/>
                <c:pt idx="0">
                  <c:v>#N/A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Sheet2!$D$3:$D$99</c:f>
              <c:numCache>
                <c:formatCode>General</c:formatCode>
                <c:ptCount val="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266-4169-9B80-B3AA16F4E9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9414367"/>
        <c:axId val="1509435167"/>
      </c:lineChart>
      <c:catAx>
        <c:axId val="150941436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435167"/>
        <c:crosses val="autoZero"/>
        <c:auto val="1"/>
        <c:lblAlgn val="ctr"/>
        <c:lblOffset val="100"/>
        <c:noMultiLvlLbl val="0"/>
      </c:catAx>
      <c:valAx>
        <c:axId val="1509435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4143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Right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Sheet2!$E$2</c:f>
              <c:strCache>
                <c:ptCount val="1"/>
                <c:pt idx="0">
                  <c:v>#N/A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222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7A8-476B-B19F-28932593BACD}"/>
              </c:ext>
            </c:extLst>
          </c:dPt>
          <c:val>
            <c:numRef>
              <c:f>Sheet2!$E$3:$E$99</c:f>
              <c:numCache>
                <c:formatCode>General</c:formatCode>
                <c:ptCount val="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39-4407-BA24-DA599796B75D}"/>
            </c:ext>
          </c:extLst>
        </c:ser>
        <c:ser>
          <c:idx val="1"/>
          <c:order val="1"/>
          <c:tx>
            <c:strRef>
              <c:f>Sheet2!$F$2</c:f>
              <c:strCache>
                <c:ptCount val="1"/>
                <c:pt idx="0">
                  <c:v>#N/A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val>
            <c:numRef>
              <c:f>Sheet2!$F$3:$F$99</c:f>
              <c:numCache>
                <c:formatCode>General</c:formatCode>
                <c:ptCount val="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39-4407-BA24-DA599796B7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09414367"/>
        <c:axId val="1509435167"/>
      </c:lineChart>
      <c:catAx>
        <c:axId val="150941436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435167"/>
        <c:crosses val="autoZero"/>
        <c:auto val="1"/>
        <c:lblAlgn val="ctr"/>
        <c:lblOffset val="100"/>
        <c:noMultiLvlLbl val="0"/>
      </c:catAx>
      <c:valAx>
        <c:axId val="1509435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94143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Left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Sheet2!$W$1</c:f>
              <c:strCache>
                <c:ptCount val="1"/>
                <c:pt idx="0">
                  <c:v>#N/A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Sheet2!$V$2:$V$65</c:f>
              <c:numCache>
                <c:formatCode>General</c:formatCode>
                <c:ptCount val="64"/>
                <c:pt idx="0">
                  <c:v>0</c:v>
                </c:pt>
                <c:pt idx="1">
                  <c:v>7.8125E-3</c:v>
                </c:pt>
                <c:pt idx="2">
                  <c:v>1.5625E-2</c:v>
                </c:pt>
                <c:pt idx="3">
                  <c:v>2.34375E-2</c:v>
                </c:pt>
                <c:pt idx="4">
                  <c:v>3.125E-2</c:v>
                </c:pt>
                <c:pt idx="5">
                  <c:v>3.90625E-2</c:v>
                </c:pt>
                <c:pt idx="6">
                  <c:v>4.6875E-2</c:v>
                </c:pt>
                <c:pt idx="7">
                  <c:v>5.46875E-2</c:v>
                </c:pt>
                <c:pt idx="8">
                  <c:v>6.25E-2</c:v>
                </c:pt>
                <c:pt idx="9">
                  <c:v>7.03125E-2</c:v>
                </c:pt>
                <c:pt idx="10">
                  <c:v>7.8125E-2</c:v>
                </c:pt>
                <c:pt idx="11">
                  <c:v>8.59375E-2</c:v>
                </c:pt>
                <c:pt idx="12">
                  <c:v>9.375E-2</c:v>
                </c:pt>
                <c:pt idx="13">
                  <c:v>0.1015625</c:v>
                </c:pt>
                <c:pt idx="14">
                  <c:v>0.109375</c:v>
                </c:pt>
                <c:pt idx="15">
                  <c:v>0.1171875</c:v>
                </c:pt>
                <c:pt idx="16">
                  <c:v>0.125</c:v>
                </c:pt>
                <c:pt idx="17">
                  <c:v>0.1328125</c:v>
                </c:pt>
                <c:pt idx="18">
                  <c:v>0.140625</c:v>
                </c:pt>
                <c:pt idx="19">
                  <c:v>0.1484375</c:v>
                </c:pt>
                <c:pt idx="20">
                  <c:v>0.15625</c:v>
                </c:pt>
                <c:pt idx="21">
                  <c:v>0.1640625</c:v>
                </c:pt>
                <c:pt idx="22">
                  <c:v>0.171875</c:v>
                </c:pt>
                <c:pt idx="23">
                  <c:v>0.1796875</c:v>
                </c:pt>
                <c:pt idx="24">
                  <c:v>0.1875</c:v>
                </c:pt>
                <c:pt idx="25">
                  <c:v>0.1953125</c:v>
                </c:pt>
                <c:pt idx="26">
                  <c:v>0.203125</c:v>
                </c:pt>
                <c:pt idx="27">
                  <c:v>0.2109375</c:v>
                </c:pt>
                <c:pt idx="28">
                  <c:v>0.21875</c:v>
                </c:pt>
                <c:pt idx="29">
                  <c:v>0.2265625</c:v>
                </c:pt>
                <c:pt idx="30">
                  <c:v>0.234375</c:v>
                </c:pt>
                <c:pt idx="31">
                  <c:v>0.2421875</c:v>
                </c:pt>
                <c:pt idx="32">
                  <c:v>0.25</c:v>
                </c:pt>
                <c:pt idx="33">
                  <c:v>0.2578125</c:v>
                </c:pt>
                <c:pt idx="34">
                  <c:v>0.265625</c:v>
                </c:pt>
                <c:pt idx="35">
                  <c:v>0.2734375</c:v>
                </c:pt>
                <c:pt idx="36">
                  <c:v>0.28125</c:v>
                </c:pt>
                <c:pt idx="37">
                  <c:v>0.2890625</c:v>
                </c:pt>
                <c:pt idx="38">
                  <c:v>0.296875</c:v>
                </c:pt>
                <c:pt idx="39">
                  <c:v>0.3046875</c:v>
                </c:pt>
                <c:pt idx="40">
                  <c:v>0.3125</c:v>
                </c:pt>
                <c:pt idx="41">
                  <c:v>0.3203125</c:v>
                </c:pt>
                <c:pt idx="42">
                  <c:v>0.328125</c:v>
                </c:pt>
                <c:pt idx="43">
                  <c:v>0.3359375</c:v>
                </c:pt>
                <c:pt idx="44">
                  <c:v>0.34375</c:v>
                </c:pt>
                <c:pt idx="45">
                  <c:v>0.3515625</c:v>
                </c:pt>
                <c:pt idx="46">
                  <c:v>0.359375</c:v>
                </c:pt>
                <c:pt idx="47">
                  <c:v>0.3671875</c:v>
                </c:pt>
                <c:pt idx="48">
                  <c:v>0.375</c:v>
                </c:pt>
                <c:pt idx="49">
                  <c:v>0.3828125</c:v>
                </c:pt>
                <c:pt idx="50">
                  <c:v>0.390625</c:v>
                </c:pt>
                <c:pt idx="51">
                  <c:v>0.3984375</c:v>
                </c:pt>
                <c:pt idx="52">
                  <c:v>0.40625</c:v>
                </c:pt>
                <c:pt idx="53">
                  <c:v>0.4140625</c:v>
                </c:pt>
                <c:pt idx="54">
                  <c:v>0.421875</c:v>
                </c:pt>
                <c:pt idx="55">
                  <c:v>0.4296875</c:v>
                </c:pt>
                <c:pt idx="56">
                  <c:v>0.4375</c:v>
                </c:pt>
                <c:pt idx="57">
                  <c:v>0.4453125</c:v>
                </c:pt>
                <c:pt idx="58">
                  <c:v>0.453125</c:v>
                </c:pt>
                <c:pt idx="59">
                  <c:v>0.4609375</c:v>
                </c:pt>
                <c:pt idx="60">
                  <c:v>0.46875</c:v>
                </c:pt>
                <c:pt idx="61">
                  <c:v>0.4765625</c:v>
                </c:pt>
                <c:pt idx="62">
                  <c:v>0.484375</c:v>
                </c:pt>
                <c:pt idx="63">
                  <c:v>0.4921875</c:v>
                </c:pt>
              </c:numCache>
            </c:numRef>
          </c:xVal>
          <c:yVal>
            <c:numRef>
              <c:f>Sheet2!$W$2:$W$65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82-4A36-AD57-8FDE9A571B39}"/>
            </c:ext>
          </c:extLst>
        </c:ser>
        <c:ser>
          <c:idx val="1"/>
          <c:order val="1"/>
          <c:tx>
            <c:strRef>
              <c:f>Sheet2!$X$1</c:f>
              <c:strCache>
                <c:ptCount val="1"/>
                <c:pt idx="0">
                  <c:v>#N/A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Sheet2!$V$2:$V$65</c:f>
              <c:numCache>
                <c:formatCode>General</c:formatCode>
                <c:ptCount val="64"/>
                <c:pt idx="0">
                  <c:v>0</c:v>
                </c:pt>
                <c:pt idx="1">
                  <c:v>7.8125E-3</c:v>
                </c:pt>
                <c:pt idx="2">
                  <c:v>1.5625E-2</c:v>
                </c:pt>
                <c:pt idx="3">
                  <c:v>2.34375E-2</c:v>
                </c:pt>
                <c:pt idx="4">
                  <c:v>3.125E-2</c:v>
                </c:pt>
                <c:pt idx="5">
                  <c:v>3.90625E-2</c:v>
                </c:pt>
                <c:pt idx="6">
                  <c:v>4.6875E-2</c:v>
                </c:pt>
                <c:pt idx="7">
                  <c:v>5.46875E-2</c:v>
                </c:pt>
                <c:pt idx="8">
                  <c:v>6.25E-2</c:v>
                </c:pt>
                <c:pt idx="9">
                  <c:v>7.03125E-2</c:v>
                </c:pt>
                <c:pt idx="10">
                  <c:v>7.8125E-2</c:v>
                </c:pt>
                <c:pt idx="11">
                  <c:v>8.59375E-2</c:v>
                </c:pt>
                <c:pt idx="12">
                  <c:v>9.375E-2</c:v>
                </c:pt>
                <c:pt idx="13">
                  <c:v>0.1015625</c:v>
                </c:pt>
                <c:pt idx="14">
                  <c:v>0.109375</c:v>
                </c:pt>
                <c:pt idx="15">
                  <c:v>0.1171875</c:v>
                </c:pt>
                <c:pt idx="16">
                  <c:v>0.125</c:v>
                </c:pt>
                <c:pt idx="17">
                  <c:v>0.1328125</c:v>
                </c:pt>
                <c:pt idx="18">
                  <c:v>0.140625</c:v>
                </c:pt>
                <c:pt idx="19">
                  <c:v>0.1484375</c:v>
                </c:pt>
                <c:pt idx="20">
                  <c:v>0.15625</c:v>
                </c:pt>
                <c:pt idx="21">
                  <c:v>0.1640625</c:v>
                </c:pt>
                <c:pt idx="22">
                  <c:v>0.171875</c:v>
                </c:pt>
                <c:pt idx="23">
                  <c:v>0.1796875</c:v>
                </c:pt>
                <c:pt idx="24">
                  <c:v>0.1875</c:v>
                </c:pt>
                <c:pt idx="25">
                  <c:v>0.1953125</c:v>
                </c:pt>
                <c:pt idx="26">
                  <c:v>0.203125</c:v>
                </c:pt>
                <c:pt idx="27">
                  <c:v>0.2109375</c:v>
                </c:pt>
                <c:pt idx="28">
                  <c:v>0.21875</c:v>
                </c:pt>
                <c:pt idx="29">
                  <c:v>0.2265625</c:v>
                </c:pt>
                <c:pt idx="30">
                  <c:v>0.234375</c:v>
                </c:pt>
                <c:pt idx="31">
                  <c:v>0.2421875</c:v>
                </c:pt>
                <c:pt idx="32">
                  <c:v>0.25</c:v>
                </c:pt>
                <c:pt idx="33">
                  <c:v>0.2578125</c:v>
                </c:pt>
                <c:pt idx="34">
                  <c:v>0.265625</c:v>
                </c:pt>
                <c:pt idx="35">
                  <c:v>0.2734375</c:v>
                </c:pt>
                <c:pt idx="36">
                  <c:v>0.28125</c:v>
                </c:pt>
                <c:pt idx="37">
                  <c:v>0.2890625</c:v>
                </c:pt>
                <c:pt idx="38">
                  <c:v>0.296875</c:v>
                </c:pt>
                <c:pt idx="39">
                  <c:v>0.3046875</c:v>
                </c:pt>
                <c:pt idx="40">
                  <c:v>0.3125</c:v>
                </c:pt>
                <c:pt idx="41">
                  <c:v>0.3203125</c:v>
                </c:pt>
                <c:pt idx="42">
                  <c:v>0.328125</c:v>
                </c:pt>
                <c:pt idx="43">
                  <c:v>0.3359375</c:v>
                </c:pt>
                <c:pt idx="44">
                  <c:v>0.34375</c:v>
                </c:pt>
                <c:pt idx="45">
                  <c:v>0.3515625</c:v>
                </c:pt>
                <c:pt idx="46">
                  <c:v>0.359375</c:v>
                </c:pt>
                <c:pt idx="47">
                  <c:v>0.3671875</c:v>
                </c:pt>
                <c:pt idx="48">
                  <c:v>0.375</c:v>
                </c:pt>
                <c:pt idx="49">
                  <c:v>0.3828125</c:v>
                </c:pt>
                <c:pt idx="50">
                  <c:v>0.390625</c:v>
                </c:pt>
                <c:pt idx="51">
                  <c:v>0.3984375</c:v>
                </c:pt>
                <c:pt idx="52">
                  <c:v>0.40625</c:v>
                </c:pt>
                <c:pt idx="53">
                  <c:v>0.4140625</c:v>
                </c:pt>
                <c:pt idx="54">
                  <c:v>0.421875</c:v>
                </c:pt>
                <c:pt idx="55">
                  <c:v>0.4296875</c:v>
                </c:pt>
                <c:pt idx="56">
                  <c:v>0.4375</c:v>
                </c:pt>
                <c:pt idx="57">
                  <c:v>0.4453125</c:v>
                </c:pt>
                <c:pt idx="58">
                  <c:v>0.453125</c:v>
                </c:pt>
                <c:pt idx="59">
                  <c:v>0.4609375</c:v>
                </c:pt>
                <c:pt idx="60">
                  <c:v>0.46875</c:v>
                </c:pt>
                <c:pt idx="61">
                  <c:v>0.4765625</c:v>
                </c:pt>
                <c:pt idx="62">
                  <c:v>0.484375</c:v>
                </c:pt>
                <c:pt idx="63">
                  <c:v>0.4921875</c:v>
                </c:pt>
              </c:numCache>
            </c:numRef>
          </c:xVal>
          <c:yVal>
            <c:numRef>
              <c:f>Sheet2!$X$2:$X$65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82-4A36-AD57-8FDE9A571B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9881247"/>
        <c:axId val="2059871263"/>
      </c:scatterChart>
      <c:valAx>
        <c:axId val="2059881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871263"/>
        <c:crosses val="autoZero"/>
        <c:crossBetween val="midCat"/>
      </c:valAx>
      <c:valAx>
        <c:axId val="2059871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881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Right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Sheet2!$Y$1</c:f>
              <c:strCache>
                <c:ptCount val="1"/>
                <c:pt idx="0">
                  <c:v>#N/A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Sheet2!$V$2:$V$65</c:f>
              <c:numCache>
                <c:formatCode>General</c:formatCode>
                <c:ptCount val="64"/>
                <c:pt idx="0">
                  <c:v>0</c:v>
                </c:pt>
                <c:pt idx="1">
                  <c:v>7.8125E-3</c:v>
                </c:pt>
                <c:pt idx="2">
                  <c:v>1.5625E-2</c:v>
                </c:pt>
                <c:pt idx="3">
                  <c:v>2.34375E-2</c:v>
                </c:pt>
                <c:pt idx="4">
                  <c:v>3.125E-2</c:v>
                </c:pt>
                <c:pt idx="5">
                  <c:v>3.90625E-2</c:v>
                </c:pt>
                <c:pt idx="6">
                  <c:v>4.6875E-2</c:v>
                </c:pt>
                <c:pt idx="7">
                  <c:v>5.46875E-2</c:v>
                </c:pt>
                <c:pt idx="8">
                  <c:v>6.25E-2</c:v>
                </c:pt>
                <c:pt idx="9">
                  <c:v>7.03125E-2</c:v>
                </c:pt>
                <c:pt idx="10">
                  <c:v>7.8125E-2</c:v>
                </c:pt>
                <c:pt idx="11">
                  <c:v>8.59375E-2</c:v>
                </c:pt>
                <c:pt idx="12">
                  <c:v>9.375E-2</c:v>
                </c:pt>
                <c:pt idx="13">
                  <c:v>0.1015625</c:v>
                </c:pt>
                <c:pt idx="14">
                  <c:v>0.109375</c:v>
                </c:pt>
                <c:pt idx="15">
                  <c:v>0.1171875</c:v>
                </c:pt>
                <c:pt idx="16">
                  <c:v>0.125</c:v>
                </c:pt>
                <c:pt idx="17">
                  <c:v>0.1328125</c:v>
                </c:pt>
                <c:pt idx="18">
                  <c:v>0.140625</c:v>
                </c:pt>
                <c:pt idx="19">
                  <c:v>0.1484375</c:v>
                </c:pt>
                <c:pt idx="20">
                  <c:v>0.15625</c:v>
                </c:pt>
                <c:pt idx="21">
                  <c:v>0.1640625</c:v>
                </c:pt>
                <c:pt idx="22">
                  <c:v>0.171875</c:v>
                </c:pt>
                <c:pt idx="23">
                  <c:v>0.1796875</c:v>
                </c:pt>
                <c:pt idx="24">
                  <c:v>0.1875</c:v>
                </c:pt>
                <c:pt idx="25">
                  <c:v>0.1953125</c:v>
                </c:pt>
                <c:pt idx="26">
                  <c:v>0.203125</c:v>
                </c:pt>
                <c:pt idx="27">
                  <c:v>0.2109375</c:v>
                </c:pt>
                <c:pt idx="28">
                  <c:v>0.21875</c:v>
                </c:pt>
                <c:pt idx="29">
                  <c:v>0.2265625</c:v>
                </c:pt>
                <c:pt idx="30">
                  <c:v>0.234375</c:v>
                </c:pt>
                <c:pt idx="31">
                  <c:v>0.2421875</c:v>
                </c:pt>
                <c:pt idx="32">
                  <c:v>0.25</c:v>
                </c:pt>
                <c:pt idx="33">
                  <c:v>0.2578125</c:v>
                </c:pt>
                <c:pt idx="34">
                  <c:v>0.265625</c:v>
                </c:pt>
                <c:pt idx="35">
                  <c:v>0.2734375</c:v>
                </c:pt>
                <c:pt idx="36">
                  <c:v>0.28125</c:v>
                </c:pt>
                <c:pt idx="37">
                  <c:v>0.2890625</c:v>
                </c:pt>
                <c:pt idx="38">
                  <c:v>0.296875</c:v>
                </c:pt>
                <c:pt idx="39">
                  <c:v>0.3046875</c:v>
                </c:pt>
                <c:pt idx="40">
                  <c:v>0.3125</c:v>
                </c:pt>
                <c:pt idx="41">
                  <c:v>0.3203125</c:v>
                </c:pt>
                <c:pt idx="42">
                  <c:v>0.328125</c:v>
                </c:pt>
                <c:pt idx="43">
                  <c:v>0.3359375</c:v>
                </c:pt>
                <c:pt idx="44">
                  <c:v>0.34375</c:v>
                </c:pt>
                <c:pt idx="45">
                  <c:v>0.3515625</c:v>
                </c:pt>
                <c:pt idx="46">
                  <c:v>0.359375</c:v>
                </c:pt>
                <c:pt idx="47">
                  <c:v>0.3671875</c:v>
                </c:pt>
                <c:pt idx="48">
                  <c:v>0.375</c:v>
                </c:pt>
                <c:pt idx="49">
                  <c:v>0.3828125</c:v>
                </c:pt>
                <c:pt idx="50">
                  <c:v>0.390625</c:v>
                </c:pt>
                <c:pt idx="51">
                  <c:v>0.3984375</c:v>
                </c:pt>
                <c:pt idx="52">
                  <c:v>0.40625</c:v>
                </c:pt>
                <c:pt idx="53">
                  <c:v>0.4140625</c:v>
                </c:pt>
                <c:pt idx="54">
                  <c:v>0.421875</c:v>
                </c:pt>
                <c:pt idx="55">
                  <c:v>0.4296875</c:v>
                </c:pt>
                <c:pt idx="56">
                  <c:v>0.4375</c:v>
                </c:pt>
                <c:pt idx="57">
                  <c:v>0.4453125</c:v>
                </c:pt>
                <c:pt idx="58">
                  <c:v>0.453125</c:v>
                </c:pt>
                <c:pt idx="59">
                  <c:v>0.4609375</c:v>
                </c:pt>
                <c:pt idx="60">
                  <c:v>0.46875</c:v>
                </c:pt>
                <c:pt idx="61">
                  <c:v>0.4765625</c:v>
                </c:pt>
                <c:pt idx="62">
                  <c:v>0.484375</c:v>
                </c:pt>
                <c:pt idx="63">
                  <c:v>0.4921875</c:v>
                </c:pt>
              </c:numCache>
            </c:numRef>
          </c:xVal>
          <c:yVal>
            <c:numRef>
              <c:f>Sheet2!$Y$2:$Y$65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EE-4ACA-B868-888121E2C517}"/>
            </c:ext>
          </c:extLst>
        </c:ser>
        <c:ser>
          <c:idx val="1"/>
          <c:order val="1"/>
          <c:tx>
            <c:strRef>
              <c:f>Sheet2!$Z$1</c:f>
              <c:strCache>
                <c:ptCount val="1"/>
                <c:pt idx="0">
                  <c:v>#N/A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Sheet2!$V$2:$V$65</c:f>
              <c:numCache>
                <c:formatCode>General</c:formatCode>
                <c:ptCount val="64"/>
                <c:pt idx="0">
                  <c:v>0</c:v>
                </c:pt>
                <c:pt idx="1">
                  <c:v>7.8125E-3</c:v>
                </c:pt>
                <c:pt idx="2">
                  <c:v>1.5625E-2</c:v>
                </c:pt>
                <c:pt idx="3">
                  <c:v>2.34375E-2</c:v>
                </c:pt>
                <c:pt idx="4">
                  <c:v>3.125E-2</c:v>
                </c:pt>
                <c:pt idx="5">
                  <c:v>3.90625E-2</c:v>
                </c:pt>
                <c:pt idx="6">
                  <c:v>4.6875E-2</c:v>
                </c:pt>
                <c:pt idx="7">
                  <c:v>5.46875E-2</c:v>
                </c:pt>
                <c:pt idx="8">
                  <c:v>6.25E-2</c:v>
                </c:pt>
                <c:pt idx="9">
                  <c:v>7.03125E-2</c:v>
                </c:pt>
                <c:pt idx="10">
                  <c:v>7.8125E-2</c:v>
                </c:pt>
                <c:pt idx="11">
                  <c:v>8.59375E-2</c:v>
                </c:pt>
                <c:pt idx="12">
                  <c:v>9.375E-2</c:v>
                </c:pt>
                <c:pt idx="13">
                  <c:v>0.1015625</c:v>
                </c:pt>
                <c:pt idx="14">
                  <c:v>0.109375</c:v>
                </c:pt>
                <c:pt idx="15">
                  <c:v>0.1171875</c:v>
                </c:pt>
                <c:pt idx="16">
                  <c:v>0.125</c:v>
                </c:pt>
                <c:pt idx="17">
                  <c:v>0.1328125</c:v>
                </c:pt>
                <c:pt idx="18">
                  <c:v>0.140625</c:v>
                </c:pt>
                <c:pt idx="19">
                  <c:v>0.1484375</c:v>
                </c:pt>
                <c:pt idx="20">
                  <c:v>0.15625</c:v>
                </c:pt>
                <c:pt idx="21">
                  <c:v>0.1640625</c:v>
                </c:pt>
                <c:pt idx="22">
                  <c:v>0.171875</c:v>
                </c:pt>
                <c:pt idx="23">
                  <c:v>0.1796875</c:v>
                </c:pt>
                <c:pt idx="24">
                  <c:v>0.1875</c:v>
                </c:pt>
                <c:pt idx="25">
                  <c:v>0.1953125</c:v>
                </c:pt>
                <c:pt idx="26">
                  <c:v>0.203125</c:v>
                </c:pt>
                <c:pt idx="27">
                  <c:v>0.2109375</c:v>
                </c:pt>
                <c:pt idx="28">
                  <c:v>0.21875</c:v>
                </c:pt>
                <c:pt idx="29">
                  <c:v>0.2265625</c:v>
                </c:pt>
                <c:pt idx="30">
                  <c:v>0.234375</c:v>
                </c:pt>
                <c:pt idx="31">
                  <c:v>0.2421875</c:v>
                </c:pt>
                <c:pt idx="32">
                  <c:v>0.25</c:v>
                </c:pt>
                <c:pt idx="33">
                  <c:v>0.2578125</c:v>
                </c:pt>
                <c:pt idx="34">
                  <c:v>0.265625</c:v>
                </c:pt>
                <c:pt idx="35">
                  <c:v>0.2734375</c:v>
                </c:pt>
                <c:pt idx="36">
                  <c:v>0.28125</c:v>
                </c:pt>
                <c:pt idx="37">
                  <c:v>0.2890625</c:v>
                </c:pt>
                <c:pt idx="38">
                  <c:v>0.296875</c:v>
                </c:pt>
                <c:pt idx="39">
                  <c:v>0.3046875</c:v>
                </c:pt>
                <c:pt idx="40">
                  <c:v>0.3125</c:v>
                </c:pt>
                <c:pt idx="41">
                  <c:v>0.3203125</c:v>
                </c:pt>
                <c:pt idx="42">
                  <c:v>0.328125</c:v>
                </c:pt>
                <c:pt idx="43">
                  <c:v>0.3359375</c:v>
                </c:pt>
                <c:pt idx="44">
                  <c:v>0.34375</c:v>
                </c:pt>
                <c:pt idx="45">
                  <c:v>0.3515625</c:v>
                </c:pt>
                <c:pt idx="46">
                  <c:v>0.359375</c:v>
                </c:pt>
                <c:pt idx="47">
                  <c:v>0.3671875</c:v>
                </c:pt>
                <c:pt idx="48">
                  <c:v>0.375</c:v>
                </c:pt>
                <c:pt idx="49">
                  <c:v>0.3828125</c:v>
                </c:pt>
                <c:pt idx="50">
                  <c:v>0.390625</c:v>
                </c:pt>
                <c:pt idx="51">
                  <c:v>0.3984375</c:v>
                </c:pt>
                <c:pt idx="52">
                  <c:v>0.40625</c:v>
                </c:pt>
                <c:pt idx="53">
                  <c:v>0.4140625</c:v>
                </c:pt>
                <c:pt idx="54">
                  <c:v>0.421875</c:v>
                </c:pt>
                <c:pt idx="55">
                  <c:v>0.4296875</c:v>
                </c:pt>
                <c:pt idx="56">
                  <c:v>0.4375</c:v>
                </c:pt>
                <c:pt idx="57">
                  <c:v>0.4453125</c:v>
                </c:pt>
                <c:pt idx="58">
                  <c:v>0.453125</c:v>
                </c:pt>
                <c:pt idx="59">
                  <c:v>0.4609375</c:v>
                </c:pt>
                <c:pt idx="60">
                  <c:v>0.46875</c:v>
                </c:pt>
                <c:pt idx="61">
                  <c:v>0.4765625</c:v>
                </c:pt>
                <c:pt idx="62">
                  <c:v>0.484375</c:v>
                </c:pt>
                <c:pt idx="63">
                  <c:v>0.4921875</c:v>
                </c:pt>
              </c:numCache>
            </c:numRef>
          </c:xVal>
          <c:yVal>
            <c:numRef>
              <c:f>Sheet2!$Z$2:$Z$65</c:f>
              <c:numCache>
                <c:formatCode>General</c:formatCode>
                <c:ptCount val="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EE-4ACA-B868-888121E2C5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9881247"/>
        <c:axId val="2059871263"/>
      </c:scatterChart>
      <c:valAx>
        <c:axId val="2059881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871263"/>
        <c:crosses val="autoZero"/>
        <c:crossBetween val="midCat"/>
      </c:valAx>
      <c:valAx>
        <c:axId val="2059871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9881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69011</xdr:colOff>
      <xdr:row>12</xdr:row>
      <xdr:rowOff>155276</xdr:rowOff>
    </xdr:from>
    <xdr:to>
      <xdr:col>8</xdr:col>
      <xdr:colOff>1069676</xdr:colOff>
      <xdr:row>31</xdr:row>
      <xdr:rowOff>34506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95521DF-EBD7-4AA6-BEEA-66FCAAC780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250166</xdr:colOff>
      <xdr:row>13</xdr:row>
      <xdr:rowOff>2</xdr:rowOff>
    </xdr:from>
    <xdr:to>
      <xdr:col>14</xdr:col>
      <xdr:colOff>146649</xdr:colOff>
      <xdr:row>31</xdr:row>
      <xdr:rowOff>60386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631DBCA-9B7B-4EEA-AE7F-DBD1C88F26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500333</xdr:colOff>
      <xdr:row>13</xdr:row>
      <xdr:rowOff>30192</xdr:rowOff>
    </xdr:from>
    <xdr:to>
      <xdr:col>19</xdr:col>
      <xdr:colOff>547776</xdr:colOff>
      <xdr:row>31</xdr:row>
      <xdr:rowOff>69012</xdr:rowOff>
    </xdr:to>
    <xdr:graphicFrame macro="">
      <xdr:nvGraphicFramePr>
        <xdr:cNvPr id="6" name="FFT_LEFT">
          <a:extLst>
            <a:ext uri="{FF2B5EF4-FFF2-40B4-BE49-F238E27FC236}">
              <a16:creationId xmlns:a16="http://schemas.microsoft.com/office/drawing/2014/main" id="{A5EFD7D5-190A-4B15-9F74-8EFF73B0272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90578</xdr:colOff>
      <xdr:row>13</xdr:row>
      <xdr:rowOff>34506</xdr:rowOff>
    </xdr:from>
    <xdr:to>
      <xdr:col>26</xdr:col>
      <xdr:colOff>974783</xdr:colOff>
      <xdr:row>31</xdr:row>
      <xdr:rowOff>73326</xdr:rowOff>
    </xdr:to>
    <xdr:graphicFrame macro="">
      <xdr:nvGraphicFramePr>
        <xdr:cNvPr id="7" name="FFT_RIGHT">
          <a:extLst>
            <a:ext uri="{FF2B5EF4-FFF2-40B4-BE49-F238E27FC236}">
              <a16:creationId xmlns:a16="http://schemas.microsoft.com/office/drawing/2014/main" id="{B422346A-1027-4BB0-AE76-A620103AF7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96"/>
  <sheetViews>
    <sheetView workbookViewId="0">
      <selection activeCell="A4" sqref="A4:D4"/>
    </sheetView>
  </sheetViews>
  <sheetFormatPr defaultColWidth="16" defaultRowHeight="14.3" x14ac:dyDescent="0.25"/>
  <sheetData>
    <row r="1" spans="1:11" x14ac:dyDescent="0.25">
      <c r="A1" s="7" t="s">
        <v>0</v>
      </c>
      <c r="B1" s="17"/>
      <c r="C1" s="17"/>
      <c r="D1" s="17"/>
      <c r="E1" s="17"/>
      <c r="F1" s="17"/>
      <c r="G1" s="17"/>
      <c r="H1" s="17"/>
      <c r="I1" s="17"/>
      <c r="J1" s="17"/>
    </row>
    <row r="2" spans="1:11" x14ac:dyDescent="0.25">
      <c r="A2" s="7" t="s">
        <v>1</v>
      </c>
      <c r="B2" s="17"/>
      <c r="C2" s="17"/>
      <c r="D2" s="17"/>
      <c r="E2" s="17"/>
      <c r="F2" s="17"/>
      <c r="G2" s="17"/>
      <c r="H2" s="17"/>
      <c r="I2" s="17"/>
      <c r="J2" s="17"/>
    </row>
    <row r="4" spans="1:11" ht="19.05" x14ac:dyDescent="0.25">
      <c r="A4" s="5" t="s">
        <v>2</v>
      </c>
      <c r="B4" s="6" t="s">
        <v>3</v>
      </c>
      <c r="C4" s="5" t="s">
        <v>4</v>
      </c>
      <c r="D4" s="5" t="s">
        <v>5</v>
      </c>
      <c r="F4" s="1" t="s">
        <v>11</v>
      </c>
      <c r="G4" s="2">
        <v>0</v>
      </c>
      <c r="J4" s="1" t="s">
        <v>16</v>
      </c>
      <c r="K4" s="4">
        <v>0</v>
      </c>
    </row>
    <row r="49" spans="1:4" x14ac:dyDescent="0.25">
      <c r="A49" s="4"/>
      <c r="B49" s="4"/>
      <c r="C49" s="4"/>
      <c r="D49" s="4"/>
    </row>
    <row r="50" spans="1:4" x14ac:dyDescent="0.25">
      <c r="A50" s="4"/>
      <c r="B50" s="4"/>
      <c r="C50" s="4"/>
      <c r="D50" s="4"/>
    </row>
    <row r="51" spans="1:4" x14ac:dyDescent="0.25">
      <c r="A51" s="4"/>
      <c r="B51" s="4"/>
      <c r="C51" s="4"/>
      <c r="D51" s="4"/>
    </row>
    <row r="52" spans="1:4" x14ac:dyDescent="0.25">
      <c r="A52" s="4"/>
      <c r="B52" s="4"/>
      <c r="C52" s="4"/>
      <c r="D52" s="4"/>
    </row>
    <row r="53" spans="1:4" x14ac:dyDescent="0.25">
      <c r="A53" s="4"/>
      <c r="B53" s="4"/>
      <c r="C53" s="4"/>
      <c r="D53" s="4"/>
    </row>
    <row r="54" spans="1:4" x14ac:dyDescent="0.25">
      <c r="A54" s="4"/>
      <c r="B54" s="4"/>
      <c r="C54" s="4"/>
      <c r="D54" s="4"/>
    </row>
    <row r="55" spans="1:4" x14ac:dyDescent="0.25">
      <c r="A55" s="4"/>
      <c r="B55" s="4"/>
      <c r="C55" s="4"/>
      <c r="D55" s="4"/>
    </row>
    <row r="56" spans="1:4" x14ac:dyDescent="0.25">
      <c r="A56" s="4"/>
      <c r="B56" s="4"/>
      <c r="C56" s="4"/>
      <c r="D56" s="4"/>
    </row>
    <row r="57" spans="1:4" x14ac:dyDescent="0.25">
      <c r="A57" s="4"/>
      <c r="B57" s="4"/>
      <c r="C57" s="4"/>
      <c r="D57" s="4"/>
    </row>
    <row r="58" spans="1:4" x14ac:dyDescent="0.25">
      <c r="A58" s="4"/>
      <c r="B58" s="4"/>
      <c r="C58" s="4"/>
      <c r="D58" s="4"/>
    </row>
    <row r="59" spans="1:4" x14ac:dyDescent="0.25">
      <c r="A59" s="4"/>
      <c r="B59" s="4"/>
      <c r="C59" s="4"/>
      <c r="D59" s="4"/>
    </row>
    <row r="60" spans="1:4" x14ac:dyDescent="0.25">
      <c r="A60" s="4"/>
      <c r="B60" s="4"/>
      <c r="C60" s="4"/>
      <c r="D60" s="4"/>
    </row>
    <row r="61" spans="1:4" x14ac:dyDescent="0.25">
      <c r="A61" s="4"/>
      <c r="B61" s="4"/>
      <c r="C61" s="4"/>
      <c r="D61" s="4"/>
    </row>
    <row r="62" spans="1:4" x14ac:dyDescent="0.25">
      <c r="A62" s="4"/>
      <c r="B62" s="4"/>
      <c r="C62" s="4"/>
      <c r="D62" s="4"/>
    </row>
    <row r="63" spans="1:4" x14ac:dyDescent="0.25">
      <c r="A63" s="4"/>
      <c r="B63" s="4"/>
      <c r="C63" s="4"/>
      <c r="D63" s="4"/>
    </row>
    <row r="64" spans="1:4" x14ac:dyDescent="0.25">
      <c r="A64" s="4"/>
      <c r="B64" s="4"/>
      <c r="C64" s="4"/>
      <c r="D64" s="4"/>
    </row>
    <row r="65" spans="1:4" x14ac:dyDescent="0.25">
      <c r="A65" s="4"/>
      <c r="B65" s="4"/>
      <c r="C65" s="4"/>
      <c r="D65" s="4"/>
    </row>
    <row r="66" spans="1:4" x14ac:dyDescent="0.25">
      <c r="A66" s="4"/>
      <c r="B66" s="4"/>
      <c r="C66" s="4"/>
      <c r="D66" s="4"/>
    </row>
    <row r="67" spans="1:4" x14ac:dyDescent="0.25">
      <c r="A67" s="4"/>
      <c r="B67" s="4"/>
      <c r="C67" s="4"/>
      <c r="D67" s="4"/>
    </row>
    <row r="68" spans="1:4" x14ac:dyDescent="0.25">
      <c r="A68" s="4"/>
      <c r="B68" s="4"/>
      <c r="C68" s="4"/>
      <c r="D68" s="4"/>
    </row>
    <row r="69" spans="1:4" x14ac:dyDescent="0.25">
      <c r="A69" s="4"/>
      <c r="B69" s="4"/>
      <c r="C69" s="4"/>
      <c r="D69" s="4"/>
    </row>
    <row r="70" spans="1:4" x14ac:dyDescent="0.25">
      <c r="A70" s="4"/>
      <c r="B70" s="4"/>
      <c r="C70" s="4"/>
      <c r="D70" s="4"/>
    </row>
    <row r="71" spans="1:4" x14ac:dyDescent="0.25">
      <c r="A71" s="4"/>
      <c r="B71" s="4"/>
      <c r="C71" s="4"/>
      <c r="D71" s="4"/>
    </row>
    <row r="72" spans="1:4" x14ac:dyDescent="0.25">
      <c r="A72" s="4"/>
      <c r="B72" s="4"/>
      <c r="C72" s="4"/>
      <c r="D72" s="4"/>
    </row>
    <row r="73" spans="1:4" x14ac:dyDescent="0.25">
      <c r="A73" s="4"/>
      <c r="B73" s="4"/>
      <c r="C73" s="4"/>
      <c r="D73" s="4"/>
    </row>
    <row r="74" spans="1:4" x14ac:dyDescent="0.25">
      <c r="A74" s="4"/>
      <c r="B74" s="4"/>
      <c r="C74" s="4"/>
      <c r="D74" s="4"/>
    </row>
    <row r="75" spans="1:4" x14ac:dyDescent="0.25">
      <c r="A75" s="4"/>
      <c r="B75" s="4"/>
      <c r="C75" s="4"/>
      <c r="D75" s="4"/>
    </row>
    <row r="76" spans="1:4" x14ac:dyDescent="0.25">
      <c r="A76" s="4"/>
      <c r="B76" s="4"/>
      <c r="C76" s="4"/>
      <c r="D76" s="4"/>
    </row>
    <row r="77" spans="1:4" x14ac:dyDescent="0.25">
      <c r="A77" s="4"/>
      <c r="B77" s="4"/>
      <c r="C77" s="4"/>
      <c r="D77" s="4"/>
    </row>
    <row r="78" spans="1:4" x14ac:dyDescent="0.25">
      <c r="A78" s="4"/>
      <c r="B78" s="4"/>
      <c r="C78" s="4"/>
      <c r="D78" s="4"/>
    </row>
    <row r="79" spans="1:4" x14ac:dyDescent="0.25">
      <c r="A79" s="4"/>
      <c r="B79" s="4"/>
      <c r="C79" s="4"/>
      <c r="D79" s="4"/>
    </row>
    <row r="80" spans="1:4" x14ac:dyDescent="0.25">
      <c r="A80" s="4"/>
      <c r="B80" s="4"/>
      <c r="C80" s="4"/>
      <c r="D80" s="4"/>
    </row>
    <row r="81" spans="1:4" x14ac:dyDescent="0.25">
      <c r="A81" s="4"/>
      <c r="B81" s="4"/>
      <c r="C81" s="4"/>
      <c r="D81" s="4"/>
    </row>
    <row r="82" spans="1:4" x14ac:dyDescent="0.25">
      <c r="A82" s="4"/>
      <c r="B82" s="4"/>
      <c r="C82" s="4"/>
      <c r="D82" s="4"/>
    </row>
    <row r="83" spans="1:4" x14ac:dyDescent="0.25">
      <c r="A83" s="4"/>
      <c r="B83" s="4"/>
      <c r="C83" s="4"/>
      <c r="D83" s="4"/>
    </row>
    <row r="84" spans="1:4" x14ac:dyDescent="0.25">
      <c r="A84" s="4"/>
      <c r="B84" s="4"/>
      <c r="C84" s="4"/>
      <c r="D84" s="4"/>
    </row>
    <row r="85" spans="1:4" x14ac:dyDescent="0.25">
      <c r="A85" s="4"/>
      <c r="B85" s="4"/>
      <c r="C85" s="4"/>
      <c r="D85" s="4"/>
    </row>
    <row r="86" spans="1:4" x14ac:dyDescent="0.25">
      <c r="A86" s="4"/>
      <c r="B86" s="4"/>
      <c r="C86" s="4"/>
      <c r="D86" s="4"/>
    </row>
    <row r="87" spans="1:4" x14ac:dyDescent="0.25">
      <c r="A87" s="4"/>
      <c r="B87" s="4"/>
      <c r="C87" s="4"/>
      <c r="D87" s="4"/>
    </row>
    <row r="88" spans="1:4" x14ac:dyDescent="0.25">
      <c r="A88" s="4"/>
      <c r="B88" s="4"/>
      <c r="C88" s="4"/>
      <c r="D88" s="4"/>
    </row>
    <row r="89" spans="1:4" x14ac:dyDescent="0.25">
      <c r="A89" s="4"/>
      <c r="B89" s="4"/>
      <c r="C89" s="4"/>
      <c r="D89" s="4"/>
    </row>
    <row r="90" spans="1:4" x14ac:dyDescent="0.25">
      <c r="A90" s="4"/>
      <c r="B90" s="4"/>
      <c r="C90" s="4"/>
      <c r="D90" s="4"/>
    </row>
    <row r="91" spans="1:4" x14ac:dyDescent="0.25">
      <c r="A91" s="4"/>
      <c r="B91" s="4"/>
      <c r="C91" s="4"/>
      <c r="D91" s="4"/>
    </row>
    <row r="92" spans="1:4" x14ac:dyDescent="0.25">
      <c r="A92" s="4"/>
      <c r="B92" s="4"/>
      <c r="C92" s="4"/>
      <c r="D92" s="4"/>
    </row>
    <row r="93" spans="1:4" x14ac:dyDescent="0.25">
      <c r="A93" s="4"/>
      <c r="B93" s="4"/>
      <c r="C93" s="4"/>
      <c r="D93" s="4"/>
    </row>
    <row r="94" spans="1:4" x14ac:dyDescent="0.25">
      <c r="A94" s="4"/>
      <c r="B94" s="4"/>
      <c r="C94" s="4"/>
      <c r="D94" s="4"/>
    </row>
    <row r="95" spans="1:4" x14ac:dyDescent="0.25">
      <c r="A95" s="4"/>
      <c r="B95" s="4"/>
      <c r="C95" s="4"/>
      <c r="D95" s="4"/>
    </row>
    <row r="96" spans="1:4" x14ac:dyDescent="0.25">
      <c r="A96" s="4"/>
      <c r="B96" s="4"/>
      <c r="C96" s="4"/>
      <c r="D96" s="4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"/>
  <sheetViews>
    <sheetView zoomScaleNormal="100" workbookViewId="0">
      <selection activeCell="A2" sqref="A2:F21869"/>
    </sheetView>
  </sheetViews>
  <sheetFormatPr defaultColWidth="16" defaultRowHeight="14.3" x14ac:dyDescent="0.25"/>
  <sheetData>
    <row r="1" spans="1:6" ht="42.8" x14ac:dyDescent="0.25">
      <c r="A1" s="5" t="s">
        <v>2</v>
      </c>
      <c r="B1" s="5" t="s">
        <v>6</v>
      </c>
      <c r="C1" s="6" t="s">
        <v>7</v>
      </c>
      <c r="D1" s="6" t="s">
        <v>8</v>
      </c>
      <c r="E1" s="6" t="s">
        <v>9</v>
      </c>
      <c r="F1" s="6" t="s">
        <v>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7A994-6117-4065-967D-C70E297C54B2}">
  <sheetPr codeName="Sheet3"/>
  <dimension ref="A1:Z499"/>
  <sheetViews>
    <sheetView tabSelected="1" zoomScale="130" zoomScaleNormal="130" workbookViewId="0">
      <selection activeCell="C4" sqref="C4"/>
    </sheetView>
  </sheetViews>
  <sheetFormatPr defaultRowHeight="14.3" x14ac:dyDescent="0.25"/>
  <cols>
    <col min="1" max="1" width="2.875" bestFit="1" customWidth="1"/>
    <col min="2" max="2" width="5.25" bestFit="1" customWidth="1"/>
    <col min="3" max="6" width="15.625" customWidth="1"/>
    <col min="22" max="22" width="11.875" bestFit="1" customWidth="1"/>
    <col min="23" max="23" width="11.375" bestFit="1" customWidth="1"/>
    <col min="24" max="24" width="11.875" bestFit="1" customWidth="1"/>
    <col min="25" max="25" width="12.625" bestFit="1" customWidth="1"/>
    <col min="26" max="26" width="12.125" bestFit="1" customWidth="1"/>
    <col min="27" max="27" width="25.5" customWidth="1"/>
  </cols>
  <sheetData>
    <row r="1" spans="1:26" x14ac:dyDescent="0.25">
      <c r="A1" s="3">
        <f>Sheet0!G4</f>
        <v>0</v>
      </c>
      <c r="B1" s="4"/>
      <c r="C1" s="4"/>
      <c r="D1" s="4"/>
      <c r="E1" s="4"/>
      <c r="F1" s="4"/>
      <c r="M1" s="15" t="s">
        <v>13</v>
      </c>
      <c r="N1" s="16" t="e">
        <f>C2</f>
        <v>#N/A</v>
      </c>
      <c r="O1" s="16" t="e">
        <f>D2</f>
        <v>#N/A</v>
      </c>
      <c r="P1" s="16" t="e">
        <f>E2</f>
        <v>#N/A</v>
      </c>
      <c r="Q1" s="16" t="e">
        <f>F2</f>
        <v>#N/A</v>
      </c>
      <c r="R1" s="15" t="s">
        <v>14</v>
      </c>
      <c r="S1" s="15" t="s">
        <v>14</v>
      </c>
      <c r="T1" s="15" t="s">
        <v>14</v>
      </c>
      <c r="U1" s="15" t="s">
        <v>14</v>
      </c>
      <c r="V1" s="15" t="s">
        <v>15</v>
      </c>
      <c r="W1" s="15" t="e">
        <f>"MG("&amp;N1&amp;") Left"</f>
        <v>#N/A</v>
      </c>
      <c r="X1" s="15" t="e">
        <f>"MG("&amp;O1&amp;") Left"</f>
        <v>#N/A</v>
      </c>
      <c r="Y1" s="15" t="e">
        <f>"MG("&amp;P1&amp;") Right"</f>
        <v>#N/A</v>
      </c>
      <c r="Z1" s="15" t="e">
        <f>"MG("&amp;Q1&amp;") Right"</f>
        <v>#N/A</v>
      </c>
    </row>
    <row r="2" spans="1:26" ht="16.3" x14ac:dyDescent="0.25">
      <c r="A2" s="4"/>
      <c r="B2" s="4" t="s">
        <v>12</v>
      </c>
      <c r="C2" s="8" t="e">
        <f>INDEX(Sheet0!$A$5:$D$48,MATCH($A$1,Sheet0!$A$5:$A$48,FALSE),3)</f>
        <v>#N/A</v>
      </c>
      <c r="D2" s="8" t="e">
        <f>INDEX(Sheet0!$A$5:$D$48,MATCH($A$1,Sheet0!$A$5:$A$48,FALSE),4)</f>
        <v>#N/A</v>
      </c>
      <c r="E2" s="8" t="e">
        <f>INDEX(Sheet0!$A$5:$D$48,MATCH($A$1,Sheet0!$A$5:$A$48,FALSE),3)</f>
        <v>#N/A</v>
      </c>
      <c r="F2" s="8" t="e">
        <f>INDEX(Sheet0!$A$5:$D$48,MATCH($A$1,Sheet0!$A$5:$A$48,FALSE),4)</f>
        <v>#N/A</v>
      </c>
      <c r="H2">
        <f>MAX($C$3:$D$99)</f>
        <v>0</v>
      </c>
      <c r="I2">
        <f>MAX($E$3:$F$99)</f>
        <v>0</v>
      </c>
      <c r="J2">
        <f>_xlfn.CEILING.MATH(MAX($H$2:$I$2)) + $K$9</f>
        <v>0.1</v>
      </c>
      <c r="K2">
        <f>$J$2+($K$9-MOD($J$2,$K$9))</f>
        <v>0.2</v>
      </c>
      <c r="M2" s="9">
        <v>0</v>
      </c>
      <c r="N2" s="10">
        <v>0</v>
      </c>
      <c r="O2" s="11">
        <v>0</v>
      </c>
      <c r="P2" s="12">
        <v>0</v>
      </c>
      <c r="Q2" s="13">
        <v>0</v>
      </c>
      <c r="V2" s="14">
        <f>$M2*(1/128)</f>
        <v>0</v>
      </c>
      <c r="W2" s="10">
        <v>0</v>
      </c>
      <c r="X2" s="11">
        <v>0</v>
      </c>
      <c r="Y2" s="12">
        <v>0</v>
      </c>
      <c r="Z2" s="13">
        <v>0</v>
      </c>
    </row>
    <row r="3" spans="1:26" x14ac:dyDescent="0.25">
      <c r="A3" s="4"/>
      <c r="B3" s="4">
        <v>1</v>
      </c>
      <c r="C3" s="4" cm="1">
        <f t="array" ref="C3">INDEX(Sheet1!$B$2:$F$522000,SMALL(IF(Sheet1!$A$2:$A$522000=$A$1,ROW(Sheet1!$B$2:$B$522000)),ROW($A1:$F1))-1,2)</f>
        <v>0</v>
      </c>
      <c r="D3" s="4" cm="1">
        <f t="array" ref="D3">INDEX(Sheet1!$B$2:$F$522000,SMALL(IF(Sheet1!$A$2:$A$522000=$A$1,ROW(Sheet1!$B$2:$B$522000)),ROW($A1:$F1))-1,3)</f>
        <v>0</v>
      </c>
      <c r="E3" s="4" cm="1">
        <f t="array" ref="E3">INDEX(Sheet1!$B$2:$F$522000,SMALL(IF(Sheet1!$A$2:$A$522000=$A$1,ROW(Sheet1!$B$2:$B$522000)),ROW($A1:$F1))-1,4)</f>
        <v>0</v>
      </c>
      <c r="F3" s="4" cm="1">
        <f t="array" ref="F3">INDEX(Sheet1!$B$2:$F$522000,SMALL(IF(Sheet1!$A$2:$A$522000=$A$1,ROW(Sheet1!$B$2:$B$522000)),ROW($A1:$F1))-1,5)</f>
        <v>0</v>
      </c>
      <c r="H3">
        <f>MIN($C$3:$D$99)</f>
        <v>0</v>
      </c>
      <c r="I3">
        <f>MIN($E$3:$F$99)</f>
        <v>0</v>
      </c>
      <c r="J3">
        <f>_xlfn.FLOOR.MATH(MIN($H$3:$I$3)) - $K$9</f>
        <v>-0.1</v>
      </c>
      <c r="K3">
        <f>$J$3-MOD(J3,$K$9)</f>
        <v>-0.1</v>
      </c>
      <c r="M3" s="9">
        <v>1</v>
      </c>
      <c r="N3" s="10">
        <f>C3</f>
        <v>0</v>
      </c>
      <c r="O3" s="11">
        <f>D3</f>
        <v>0</v>
      </c>
      <c r="P3" s="12">
        <f>E3</f>
        <v>0</v>
      </c>
      <c r="Q3" s="13">
        <f>F3</f>
        <v>0</v>
      </c>
      <c r="V3" s="14">
        <f t="shared" ref="V3:V66" si="0">$M3*(1/128)</f>
        <v>7.8125E-3</v>
      </c>
      <c r="W3" s="10">
        <f>IMABS(R3)</f>
        <v>0</v>
      </c>
      <c r="X3" s="11">
        <f t="shared" ref="X3:Z18" si="1">IMABS(S3)</f>
        <v>0</v>
      </c>
      <c r="Y3" s="12">
        <f t="shared" si="1"/>
        <v>0</v>
      </c>
      <c r="Z3" s="13">
        <f t="shared" si="1"/>
        <v>0</v>
      </c>
    </row>
    <row r="4" spans="1:26" x14ac:dyDescent="0.25">
      <c r="A4" s="4"/>
      <c r="B4" s="4">
        <v>2</v>
      </c>
      <c r="C4" s="4" cm="1">
        <f t="array" ref="C4">INDEX(Sheet1!$B$2:$F$522000,SMALL(IF(Sheet1!$A$2:$A$522000=$A$1,ROW(Sheet1!$B$2:$B$522000)),ROW($A2:$F2))-1,2)</f>
        <v>0</v>
      </c>
      <c r="D4" s="4" cm="1">
        <f t="array" ref="D4">INDEX(Sheet1!$B$2:$F$522000,SMALL(IF(Sheet1!$A$2:$A$522000=$A$1,ROW(Sheet1!$B$2:$B$522000)),ROW($A2:$F2))-1,3)</f>
        <v>0</v>
      </c>
      <c r="E4" s="4" cm="1">
        <f t="array" ref="E4">INDEX(Sheet1!$B$2:$F$522000,SMALL(IF(Sheet1!$A$2:$A$522000=$A$1,ROW(Sheet1!$B$2:$B$522000)),ROW($A2:$F2))-1,4)</f>
        <v>0</v>
      </c>
      <c r="F4" s="4" cm="1">
        <f t="array" ref="F4">INDEX(Sheet1!$B$2:$F$522000,SMALL(IF(Sheet1!$A$2:$A$522000=$A$1,ROW(Sheet1!$B$2:$B$522000)),ROW($A2:$F2))-1,5)</f>
        <v>0</v>
      </c>
      <c r="G4">
        <v>1</v>
      </c>
      <c r="M4" s="9">
        <v>2</v>
      </c>
      <c r="N4" s="10">
        <f t="shared" ref="N4:N67" si="2">C4</f>
        <v>0</v>
      </c>
      <c r="O4" s="11">
        <f t="shared" ref="O4:O67" si="3">D4</f>
        <v>0</v>
      </c>
      <c r="P4" s="12">
        <f t="shared" ref="P4:P67" si="4">E4</f>
        <v>0</v>
      </c>
      <c r="Q4" s="13">
        <f t="shared" ref="Q4:Q67" si="5">F4</f>
        <v>0</v>
      </c>
      <c r="V4" s="14">
        <f t="shared" si="0"/>
        <v>1.5625E-2</v>
      </c>
      <c r="W4" s="10">
        <f t="shared" ref="W4:Z67" si="6">IMABS(R4)</f>
        <v>0</v>
      </c>
      <c r="X4" s="11">
        <f t="shared" si="1"/>
        <v>0</v>
      </c>
      <c r="Y4" s="12">
        <f t="shared" si="1"/>
        <v>0</v>
      </c>
      <c r="Z4" s="13">
        <f t="shared" si="1"/>
        <v>0</v>
      </c>
    </row>
    <row r="5" spans="1:26" x14ac:dyDescent="0.25">
      <c r="A5" s="4"/>
      <c r="B5" s="4">
        <v>3</v>
      </c>
      <c r="C5" s="4" cm="1">
        <f t="array" ref="C5">INDEX(Sheet1!$B$2:$F$522000,SMALL(IF(Sheet1!$A$2:$A$522000=$A$1,ROW(Sheet1!$B$2:$B$522000)),ROW($A3:$F3))-1,2)</f>
        <v>0</v>
      </c>
      <c r="D5" s="4" cm="1">
        <f t="array" ref="D5">INDEX(Sheet1!$B$2:$F$522000,SMALL(IF(Sheet1!$A$2:$A$522000=$A$1,ROW(Sheet1!$B$2:$B$522000)),ROW($A3:$F3))-1,3)</f>
        <v>0</v>
      </c>
      <c r="E5" s="4" cm="1">
        <f t="array" ref="E5">INDEX(Sheet1!$B$2:$F$522000,SMALL(IF(Sheet1!$A$2:$A$522000=$A$1,ROW(Sheet1!$B$2:$B$522000)),ROW($A3:$F3))-1,4)</f>
        <v>0</v>
      </c>
      <c r="F5" s="4" cm="1">
        <f t="array" ref="F5">INDEX(Sheet1!$B$2:$F$522000,SMALL(IF(Sheet1!$A$2:$A$522000=$A$1,ROW(Sheet1!$B$2:$B$522000)),ROW($A3:$F3))-1,5)</f>
        <v>0</v>
      </c>
      <c r="M5" s="9">
        <v>3</v>
      </c>
      <c r="N5" s="10">
        <f t="shared" si="2"/>
        <v>0</v>
      </c>
      <c r="O5" s="11">
        <f t="shared" si="3"/>
        <v>0</v>
      </c>
      <c r="P5" s="12">
        <f t="shared" si="4"/>
        <v>0</v>
      </c>
      <c r="Q5" s="13">
        <f t="shared" si="5"/>
        <v>0</v>
      </c>
      <c r="V5" s="14">
        <f t="shared" si="0"/>
        <v>2.34375E-2</v>
      </c>
      <c r="W5" s="10">
        <f t="shared" si="6"/>
        <v>0</v>
      </c>
      <c r="X5" s="11">
        <f t="shared" si="1"/>
        <v>0</v>
      </c>
      <c r="Y5" s="12">
        <f t="shared" si="1"/>
        <v>0</v>
      </c>
      <c r="Z5" s="13">
        <f t="shared" si="1"/>
        <v>0</v>
      </c>
    </row>
    <row r="6" spans="1:26" x14ac:dyDescent="0.25">
      <c r="A6" s="4"/>
      <c r="B6" s="4">
        <v>4</v>
      </c>
      <c r="C6" s="4" cm="1">
        <f t="array" ref="C6">INDEX(Sheet1!$B$2:$F$522000,SMALL(IF(Sheet1!$A$2:$A$522000=$A$1,ROW(Sheet1!$B$2:$B$522000)),ROW($A4:$F4))-1,2)</f>
        <v>0</v>
      </c>
      <c r="D6" s="4" cm="1">
        <f t="array" ref="D6">INDEX(Sheet1!$B$2:$F$522000,SMALL(IF(Sheet1!$A$2:$A$522000=$A$1,ROW(Sheet1!$B$2:$B$522000)),ROW($A4:$F4))-1,3)</f>
        <v>0</v>
      </c>
      <c r="E6" s="4" cm="1">
        <f t="array" ref="E6">INDEX(Sheet1!$B$2:$F$522000,SMALL(IF(Sheet1!$A$2:$A$522000=$A$1,ROW(Sheet1!$B$2:$B$522000)),ROW($A4:$F4))-1,4)</f>
        <v>0</v>
      </c>
      <c r="F6" s="4" cm="1">
        <f t="array" ref="F6">INDEX(Sheet1!$B$2:$F$522000,SMALL(IF(Sheet1!$A$2:$A$522000=$A$1,ROW(Sheet1!$B$2:$B$522000)),ROW($A4:$F4))-1,5)</f>
        <v>0</v>
      </c>
      <c r="M6" s="9">
        <v>4</v>
      </c>
      <c r="N6" s="10">
        <f t="shared" si="2"/>
        <v>0</v>
      </c>
      <c r="O6" s="11">
        <f t="shared" si="3"/>
        <v>0</v>
      </c>
      <c r="P6" s="12">
        <f t="shared" si="4"/>
        <v>0</v>
      </c>
      <c r="Q6" s="13">
        <f t="shared" si="5"/>
        <v>0</v>
      </c>
      <c r="V6" s="14">
        <f t="shared" si="0"/>
        <v>3.125E-2</v>
      </c>
      <c r="W6" s="10">
        <f t="shared" si="6"/>
        <v>0</v>
      </c>
      <c r="X6" s="11">
        <f t="shared" si="1"/>
        <v>0</v>
      </c>
      <c r="Y6" s="12">
        <f t="shared" si="1"/>
        <v>0</v>
      </c>
      <c r="Z6" s="13">
        <f t="shared" si="1"/>
        <v>0</v>
      </c>
    </row>
    <row r="7" spans="1:26" x14ac:dyDescent="0.25">
      <c r="A7" s="4"/>
      <c r="B7" s="4">
        <v>5</v>
      </c>
      <c r="C7" s="4" cm="1">
        <f t="array" ref="C7">INDEX(Sheet1!$B$2:$F$522000,SMALL(IF(Sheet1!$A$2:$A$522000=$A$1,ROW(Sheet1!$B$2:$B$522000)),ROW($A5:$F5))-1,2)</f>
        <v>0</v>
      </c>
      <c r="D7" s="4" cm="1">
        <f t="array" ref="D7">INDEX(Sheet1!$B$2:$F$522000,SMALL(IF(Sheet1!$A$2:$A$522000=$A$1,ROW(Sheet1!$B$2:$B$522000)),ROW($A5:$F5))-1,3)</f>
        <v>0</v>
      </c>
      <c r="E7" s="4" cm="1">
        <f t="array" ref="E7">INDEX(Sheet1!$B$2:$F$522000,SMALL(IF(Sheet1!$A$2:$A$522000=$A$1,ROW(Sheet1!$B$2:$B$522000)),ROW($A5:$F5))-1,4)</f>
        <v>0</v>
      </c>
      <c r="F7" s="4" cm="1">
        <f t="array" ref="F7">INDEX(Sheet1!$B$2:$F$522000,SMALL(IF(Sheet1!$A$2:$A$522000=$A$1,ROW(Sheet1!$B$2:$B$522000)),ROW($A5:$F5))-1,5)</f>
        <v>0</v>
      </c>
      <c r="M7" s="9">
        <v>5</v>
      </c>
      <c r="N7" s="10">
        <f t="shared" si="2"/>
        <v>0</v>
      </c>
      <c r="O7" s="11">
        <f t="shared" si="3"/>
        <v>0</v>
      </c>
      <c r="P7" s="12">
        <f t="shared" si="4"/>
        <v>0</v>
      </c>
      <c r="Q7" s="13">
        <f t="shared" si="5"/>
        <v>0</v>
      </c>
      <c r="V7" s="14">
        <f t="shared" si="0"/>
        <v>3.90625E-2</v>
      </c>
      <c r="W7" s="10">
        <f t="shared" si="6"/>
        <v>0</v>
      </c>
      <c r="X7" s="11">
        <f t="shared" si="1"/>
        <v>0</v>
      </c>
      <c r="Y7" s="12">
        <f t="shared" si="1"/>
        <v>0</v>
      </c>
      <c r="Z7" s="13">
        <f t="shared" si="1"/>
        <v>0</v>
      </c>
    </row>
    <row r="8" spans="1:26" x14ac:dyDescent="0.25">
      <c r="A8" s="4"/>
      <c r="B8" s="4">
        <v>6</v>
      </c>
      <c r="C8" s="4" cm="1">
        <f t="array" ref="C8">INDEX(Sheet1!$B$2:$F$522000,SMALL(IF(Sheet1!$A$2:$A$522000=$A$1,ROW(Sheet1!$B$2:$B$522000)),ROW($A6:$F6))-1,2)</f>
        <v>0</v>
      </c>
      <c r="D8" s="4" cm="1">
        <f t="array" ref="D8">INDEX(Sheet1!$B$2:$F$522000,SMALL(IF(Sheet1!$A$2:$A$522000=$A$1,ROW(Sheet1!$B$2:$B$522000)),ROW($A6:$F6))-1,3)</f>
        <v>0</v>
      </c>
      <c r="E8" s="4" cm="1">
        <f t="array" ref="E8">INDEX(Sheet1!$B$2:$F$522000,SMALL(IF(Sheet1!$A$2:$A$522000=$A$1,ROW(Sheet1!$B$2:$B$522000)),ROW($A6:$F6))-1,4)</f>
        <v>0</v>
      </c>
      <c r="F8" s="4" cm="1">
        <f t="array" ref="F8">INDEX(Sheet1!$B$2:$F$522000,SMALL(IF(Sheet1!$A$2:$A$522000=$A$1,ROW(Sheet1!$B$2:$B$522000)),ROW($A6:$F6))-1,5)</f>
        <v>0</v>
      </c>
      <c r="M8" s="9">
        <v>6</v>
      </c>
      <c r="N8" s="10">
        <f t="shared" si="2"/>
        <v>0</v>
      </c>
      <c r="O8" s="11">
        <f t="shared" si="3"/>
        <v>0</v>
      </c>
      <c r="P8" s="12">
        <f t="shared" si="4"/>
        <v>0</v>
      </c>
      <c r="Q8" s="13">
        <f t="shared" si="5"/>
        <v>0</v>
      </c>
      <c r="V8" s="14">
        <f t="shared" si="0"/>
        <v>4.6875E-2</v>
      </c>
      <c r="W8" s="10">
        <f t="shared" si="6"/>
        <v>0</v>
      </c>
      <c r="X8" s="11">
        <f t="shared" si="1"/>
        <v>0</v>
      </c>
      <c r="Y8" s="12">
        <f t="shared" si="1"/>
        <v>0</v>
      </c>
      <c r="Z8" s="13">
        <f t="shared" si="1"/>
        <v>0</v>
      </c>
    </row>
    <row r="9" spans="1:26" x14ac:dyDescent="0.25">
      <c r="A9" s="4"/>
      <c r="B9" s="4">
        <v>7</v>
      </c>
      <c r="C9" s="4" cm="1">
        <f t="array" ref="C9">INDEX(Sheet1!$B$2:$F$522000,SMALL(IF(Sheet1!$A$2:$A$522000=$A$1,ROW(Sheet1!$B$2:$B$522000)),ROW($A7:$F7))-1,2)</f>
        <v>0</v>
      </c>
      <c r="D9" s="4" cm="1">
        <f t="array" ref="D9">INDEX(Sheet1!$B$2:$F$522000,SMALL(IF(Sheet1!$A$2:$A$522000=$A$1,ROW(Sheet1!$B$2:$B$522000)),ROW($A7:$F7))-1,3)</f>
        <v>0</v>
      </c>
      <c r="E9" s="4" cm="1">
        <f t="array" ref="E9">INDEX(Sheet1!$B$2:$F$522000,SMALL(IF(Sheet1!$A$2:$A$522000=$A$1,ROW(Sheet1!$B$2:$B$522000)),ROW($A7:$F7))-1,4)</f>
        <v>0</v>
      </c>
      <c r="F9" s="4" cm="1">
        <f t="array" ref="F9">INDEX(Sheet1!$B$2:$F$522000,SMALL(IF(Sheet1!$A$2:$A$522000=$A$1,ROW(Sheet1!$B$2:$B$522000)),ROW($A7:$F7))-1,5)</f>
        <v>0</v>
      </c>
      <c r="H9">
        <f>LEN(_xlfn.FLOOR.MATH($H$2))</f>
        <v>1</v>
      </c>
      <c r="I9">
        <f>LEN(_xlfn.FLOOR.MATH($I$2))</f>
        <v>1</v>
      </c>
      <c r="J9">
        <f>MAX($H$9:$I$10)-1</f>
        <v>0</v>
      </c>
      <c r="K9">
        <f>POWER(10,$J$9-1)</f>
        <v>0.1</v>
      </c>
      <c r="M9" s="9">
        <v>7</v>
      </c>
      <c r="N9" s="10">
        <f t="shared" si="2"/>
        <v>0</v>
      </c>
      <c r="O9" s="11">
        <f t="shared" si="3"/>
        <v>0</v>
      </c>
      <c r="P9" s="12">
        <f t="shared" si="4"/>
        <v>0</v>
      </c>
      <c r="Q9" s="13">
        <f t="shared" si="5"/>
        <v>0</v>
      </c>
      <c r="V9" s="14">
        <f t="shared" si="0"/>
        <v>5.46875E-2</v>
      </c>
      <c r="W9" s="10">
        <f t="shared" si="6"/>
        <v>0</v>
      </c>
      <c r="X9" s="11">
        <f t="shared" si="1"/>
        <v>0</v>
      </c>
      <c r="Y9" s="12">
        <f t="shared" si="1"/>
        <v>0</v>
      </c>
      <c r="Z9" s="13">
        <f t="shared" si="1"/>
        <v>0</v>
      </c>
    </row>
    <row r="10" spans="1:26" x14ac:dyDescent="0.25">
      <c r="A10" s="4"/>
      <c r="B10" s="4">
        <v>8</v>
      </c>
      <c r="C10" s="4" cm="1">
        <f t="array" ref="C10">INDEX(Sheet1!$B$2:$F$522000,SMALL(IF(Sheet1!$A$2:$A$522000=$A$1,ROW(Sheet1!$B$2:$B$522000)),ROW($A8:$F8))-1,2)</f>
        <v>0</v>
      </c>
      <c r="D10" s="4" cm="1">
        <f t="array" ref="D10">INDEX(Sheet1!$B$2:$F$522000,SMALL(IF(Sheet1!$A$2:$A$522000=$A$1,ROW(Sheet1!$B$2:$B$522000)),ROW($A8:$F8))-1,3)</f>
        <v>0</v>
      </c>
      <c r="E10" s="4" cm="1">
        <f t="array" ref="E10">INDEX(Sheet1!$B$2:$F$522000,SMALL(IF(Sheet1!$A$2:$A$522000=$A$1,ROW(Sheet1!$B$2:$B$522000)),ROW($A8:$F8))-1,4)</f>
        <v>0</v>
      </c>
      <c r="F10" s="4" cm="1">
        <f t="array" ref="F10">INDEX(Sheet1!$B$2:$F$522000,SMALL(IF(Sheet1!$A$2:$A$522000=$A$1,ROW(Sheet1!$B$2:$B$522000)),ROW($A8:$F8))-1,5)</f>
        <v>0</v>
      </c>
      <c r="H10">
        <f>LEN(_xlfn.FLOOR.MATH($H$3))</f>
        <v>1</v>
      </c>
      <c r="I10">
        <f>LEN(_xlfn.FLOOR.MATH($I$3))</f>
        <v>1</v>
      </c>
      <c r="K10">
        <f>POWER(10,$J$9)</f>
        <v>1</v>
      </c>
      <c r="M10" s="9">
        <v>8</v>
      </c>
      <c r="N10" s="10">
        <f t="shared" si="2"/>
        <v>0</v>
      </c>
      <c r="O10" s="11">
        <f t="shared" si="3"/>
        <v>0</v>
      </c>
      <c r="P10" s="12">
        <f t="shared" si="4"/>
        <v>0</v>
      </c>
      <c r="Q10" s="13">
        <f t="shared" si="5"/>
        <v>0</v>
      </c>
      <c r="V10" s="14">
        <f t="shared" si="0"/>
        <v>6.25E-2</v>
      </c>
      <c r="W10" s="10">
        <f t="shared" si="6"/>
        <v>0</v>
      </c>
      <c r="X10" s="11">
        <f t="shared" si="1"/>
        <v>0</v>
      </c>
      <c r="Y10" s="12">
        <f t="shared" si="1"/>
        <v>0</v>
      </c>
      <c r="Z10" s="13">
        <f t="shared" si="1"/>
        <v>0</v>
      </c>
    </row>
    <row r="11" spans="1:26" x14ac:dyDescent="0.25">
      <c r="A11" s="4"/>
      <c r="B11" s="4">
        <v>9</v>
      </c>
      <c r="C11" s="4" cm="1">
        <f t="array" ref="C11">INDEX(Sheet1!$B$2:$F$522000,SMALL(IF(Sheet1!$A$2:$A$522000=$A$1,ROW(Sheet1!$B$2:$B$522000)),ROW($A9:$F9))-1,2)</f>
        <v>0</v>
      </c>
      <c r="D11" s="4" cm="1">
        <f t="array" ref="D11">INDEX(Sheet1!$B$2:$F$522000,SMALL(IF(Sheet1!$A$2:$A$522000=$A$1,ROW(Sheet1!$B$2:$B$522000)),ROW($A9:$F9))-1,3)</f>
        <v>0</v>
      </c>
      <c r="E11" s="4" cm="1">
        <f t="array" ref="E11">INDEX(Sheet1!$B$2:$F$522000,SMALL(IF(Sheet1!$A$2:$A$522000=$A$1,ROW(Sheet1!$B$2:$B$522000)),ROW($A9:$F9))-1,4)</f>
        <v>0</v>
      </c>
      <c r="F11" s="4" cm="1">
        <f t="array" ref="F11">INDEX(Sheet1!$B$2:$F$522000,SMALL(IF(Sheet1!$A$2:$A$522000=$A$1,ROW(Sheet1!$B$2:$B$522000)),ROW($A9:$F9))-1,5)</f>
        <v>0</v>
      </c>
      <c r="M11" s="9">
        <v>9</v>
      </c>
      <c r="N11" s="10">
        <f t="shared" si="2"/>
        <v>0</v>
      </c>
      <c r="O11" s="11">
        <f t="shared" si="3"/>
        <v>0</v>
      </c>
      <c r="P11" s="12">
        <f t="shared" si="4"/>
        <v>0</v>
      </c>
      <c r="Q11" s="13">
        <f t="shared" si="5"/>
        <v>0</v>
      </c>
      <c r="V11" s="14">
        <f t="shared" si="0"/>
        <v>7.03125E-2</v>
      </c>
      <c r="W11" s="10">
        <f t="shared" si="6"/>
        <v>0</v>
      </c>
      <c r="X11" s="11">
        <f t="shared" si="1"/>
        <v>0</v>
      </c>
      <c r="Y11" s="12">
        <f t="shared" si="1"/>
        <v>0</v>
      </c>
      <c r="Z11" s="13">
        <f t="shared" si="1"/>
        <v>0</v>
      </c>
    </row>
    <row r="12" spans="1:26" x14ac:dyDescent="0.25">
      <c r="A12" s="4"/>
      <c r="B12" s="4">
        <v>10</v>
      </c>
      <c r="C12" s="4" cm="1">
        <f t="array" ref="C12">INDEX(Sheet1!$B$2:$F$522000,SMALL(IF(Sheet1!$A$2:$A$522000=$A$1,ROW(Sheet1!$B$2:$B$522000)),ROW($A10:$F10))-1,2)</f>
        <v>0</v>
      </c>
      <c r="D12" s="4" cm="1">
        <f t="array" ref="D12">INDEX(Sheet1!$B$2:$F$522000,SMALL(IF(Sheet1!$A$2:$A$522000=$A$1,ROW(Sheet1!$B$2:$B$522000)),ROW($A10:$F10))-1,3)</f>
        <v>0</v>
      </c>
      <c r="E12" s="4" cm="1">
        <f t="array" ref="E12">INDEX(Sheet1!$B$2:$F$522000,SMALL(IF(Sheet1!$A$2:$A$522000=$A$1,ROW(Sheet1!$B$2:$B$522000)),ROW($A10:$F10))-1,4)</f>
        <v>0</v>
      </c>
      <c r="F12" s="4" cm="1">
        <f t="array" ref="F12">INDEX(Sheet1!$B$2:$F$522000,SMALL(IF(Sheet1!$A$2:$A$522000=$A$1,ROW(Sheet1!$B$2:$B$522000)),ROW($A10:$F10))-1,5)</f>
        <v>0</v>
      </c>
      <c r="M12" s="9">
        <v>10</v>
      </c>
      <c r="N12" s="10">
        <f t="shared" si="2"/>
        <v>0</v>
      </c>
      <c r="O12" s="11">
        <f t="shared" si="3"/>
        <v>0</v>
      </c>
      <c r="P12" s="12">
        <f t="shared" si="4"/>
        <v>0</v>
      </c>
      <c r="Q12" s="13">
        <f t="shared" si="5"/>
        <v>0</v>
      </c>
      <c r="V12" s="14">
        <f t="shared" si="0"/>
        <v>7.8125E-2</v>
      </c>
      <c r="W12" s="10">
        <f t="shared" si="6"/>
        <v>0</v>
      </c>
      <c r="X12" s="11">
        <f t="shared" si="1"/>
        <v>0</v>
      </c>
      <c r="Y12" s="12">
        <f t="shared" si="1"/>
        <v>0</v>
      </c>
      <c r="Z12" s="13">
        <f t="shared" si="1"/>
        <v>0</v>
      </c>
    </row>
    <row r="13" spans="1:26" x14ac:dyDescent="0.25">
      <c r="A13" s="4"/>
      <c r="B13" s="4">
        <v>11</v>
      </c>
      <c r="C13" s="4" cm="1">
        <f t="array" ref="C13">INDEX(Sheet1!$B$2:$F$522000,SMALL(IF(Sheet1!$A$2:$A$522000=$A$1,ROW(Sheet1!$B$2:$B$522000)),ROW($A11:$F11))-1,2)</f>
        <v>0</v>
      </c>
      <c r="D13" s="4" cm="1">
        <f t="array" ref="D13">INDEX(Sheet1!$B$2:$F$522000,SMALL(IF(Sheet1!$A$2:$A$522000=$A$1,ROW(Sheet1!$B$2:$B$522000)),ROW($A11:$F11))-1,3)</f>
        <v>0</v>
      </c>
      <c r="E13" s="4" cm="1">
        <f t="array" ref="E13">INDEX(Sheet1!$B$2:$F$522000,SMALL(IF(Sheet1!$A$2:$A$522000=$A$1,ROW(Sheet1!$B$2:$B$522000)),ROW($A11:$F11))-1,4)</f>
        <v>0</v>
      </c>
      <c r="F13" s="4" cm="1">
        <f t="array" ref="F13">INDEX(Sheet1!$B$2:$F$522000,SMALL(IF(Sheet1!$A$2:$A$522000=$A$1,ROW(Sheet1!$B$2:$B$522000)),ROW($A11:$F11))-1,5)</f>
        <v>0</v>
      </c>
      <c r="M13" s="9">
        <v>11</v>
      </c>
      <c r="N13" s="10">
        <f t="shared" si="2"/>
        <v>0</v>
      </c>
      <c r="O13" s="11">
        <f t="shared" si="3"/>
        <v>0</v>
      </c>
      <c r="P13" s="12">
        <f t="shared" si="4"/>
        <v>0</v>
      </c>
      <c r="Q13" s="13">
        <f t="shared" si="5"/>
        <v>0</v>
      </c>
      <c r="V13" s="14">
        <f t="shared" si="0"/>
        <v>8.59375E-2</v>
      </c>
      <c r="W13" s="10">
        <f t="shared" si="6"/>
        <v>0</v>
      </c>
      <c r="X13" s="11">
        <f t="shared" si="1"/>
        <v>0</v>
      </c>
      <c r="Y13" s="12">
        <f t="shared" si="1"/>
        <v>0</v>
      </c>
      <c r="Z13" s="13">
        <f t="shared" si="1"/>
        <v>0</v>
      </c>
    </row>
    <row r="14" spans="1:26" x14ac:dyDescent="0.25">
      <c r="A14" s="4"/>
      <c r="B14" s="4">
        <v>12</v>
      </c>
      <c r="C14" s="4" cm="1">
        <f t="array" ref="C14">INDEX(Sheet1!$B$2:$F$522000,SMALL(IF(Sheet1!$A$2:$A$522000=$A$1,ROW(Sheet1!$B$2:$B$522000)),ROW($A12:$F12))-1,2)</f>
        <v>0</v>
      </c>
      <c r="D14" s="4" cm="1">
        <f t="array" ref="D14">INDEX(Sheet1!$B$2:$F$522000,SMALL(IF(Sheet1!$A$2:$A$522000=$A$1,ROW(Sheet1!$B$2:$B$522000)),ROW($A12:$F12))-1,3)</f>
        <v>0</v>
      </c>
      <c r="E14" s="4" cm="1">
        <f t="array" ref="E14">INDEX(Sheet1!$B$2:$F$522000,SMALL(IF(Sheet1!$A$2:$A$522000=$A$1,ROW(Sheet1!$B$2:$B$522000)),ROW($A12:$F12))-1,4)</f>
        <v>0</v>
      </c>
      <c r="F14" s="4" cm="1">
        <f t="array" ref="F14">INDEX(Sheet1!$B$2:$F$522000,SMALL(IF(Sheet1!$A$2:$A$522000=$A$1,ROW(Sheet1!$B$2:$B$522000)),ROW($A12:$F12))-1,5)</f>
        <v>0</v>
      </c>
      <c r="M14" s="9">
        <v>12</v>
      </c>
      <c r="N14" s="10">
        <f t="shared" si="2"/>
        <v>0</v>
      </c>
      <c r="O14" s="11">
        <f t="shared" si="3"/>
        <v>0</v>
      </c>
      <c r="P14" s="12">
        <f t="shared" si="4"/>
        <v>0</v>
      </c>
      <c r="Q14" s="13">
        <f t="shared" si="5"/>
        <v>0</v>
      </c>
      <c r="V14" s="14">
        <f t="shared" si="0"/>
        <v>9.375E-2</v>
      </c>
      <c r="W14" s="10">
        <f t="shared" si="6"/>
        <v>0</v>
      </c>
      <c r="X14" s="11">
        <f t="shared" si="1"/>
        <v>0</v>
      </c>
      <c r="Y14" s="12">
        <f t="shared" si="1"/>
        <v>0</v>
      </c>
      <c r="Z14" s="13">
        <f t="shared" si="1"/>
        <v>0</v>
      </c>
    </row>
    <row r="15" spans="1:26" x14ac:dyDescent="0.25">
      <c r="A15" s="4"/>
      <c r="B15" s="4">
        <v>13</v>
      </c>
      <c r="C15" s="4" cm="1">
        <f t="array" ref="C15">INDEX(Sheet1!$B$2:$F$522000,SMALL(IF(Sheet1!$A$2:$A$522000=$A$1,ROW(Sheet1!$B$2:$B$522000)),ROW($A13:$F13))-1,2)</f>
        <v>0</v>
      </c>
      <c r="D15" s="4" cm="1">
        <f t="array" ref="D15">INDEX(Sheet1!$B$2:$F$522000,SMALL(IF(Sheet1!$A$2:$A$522000=$A$1,ROW(Sheet1!$B$2:$B$522000)),ROW($A13:$F13))-1,3)</f>
        <v>0</v>
      </c>
      <c r="E15" s="4" cm="1">
        <f t="array" ref="E15">INDEX(Sheet1!$B$2:$F$522000,SMALL(IF(Sheet1!$A$2:$A$522000=$A$1,ROW(Sheet1!$B$2:$B$522000)),ROW($A13:$F13))-1,4)</f>
        <v>0</v>
      </c>
      <c r="F15" s="4" cm="1">
        <f t="array" ref="F15">INDEX(Sheet1!$B$2:$F$522000,SMALL(IF(Sheet1!$A$2:$A$522000=$A$1,ROW(Sheet1!$B$2:$B$522000)),ROW($A13:$F13))-1,5)</f>
        <v>0</v>
      </c>
      <c r="M15" s="9">
        <v>13</v>
      </c>
      <c r="N15" s="10">
        <f t="shared" si="2"/>
        <v>0</v>
      </c>
      <c r="O15" s="11">
        <f t="shared" si="3"/>
        <v>0</v>
      </c>
      <c r="P15" s="12">
        <f t="shared" si="4"/>
        <v>0</v>
      </c>
      <c r="Q15" s="13">
        <f t="shared" si="5"/>
        <v>0</v>
      </c>
      <c r="V15" s="14">
        <f t="shared" si="0"/>
        <v>0.1015625</v>
      </c>
      <c r="W15" s="10">
        <f t="shared" si="6"/>
        <v>0</v>
      </c>
      <c r="X15" s="11">
        <f t="shared" si="1"/>
        <v>0</v>
      </c>
      <c r="Y15" s="12">
        <f t="shared" si="1"/>
        <v>0</v>
      </c>
      <c r="Z15" s="13">
        <f t="shared" si="1"/>
        <v>0</v>
      </c>
    </row>
    <row r="16" spans="1:26" x14ac:dyDescent="0.25">
      <c r="A16" s="4"/>
      <c r="B16" s="4">
        <v>14</v>
      </c>
      <c r="C16" s="4" cm="1">
        <f t="array" ref="C16">INDEX(Sheet1!$B$2:$F$522000,SMALL(IF(Sheet1!$A$2:$A$522000=$A$1,ROW(Sheet1!$B$2:$B$522000)),ROW($A14:$F14))-1,2)</f>
        <v>0</v>
      </c>
      <c r="D16" s="4" cm="1">
        <f t="array" ref="D16">INDEX(Sheet1!$B$2:$F$522000,SMALL(IF(Sheet1!$A$2:$A$522000=$A$1,ROW(Sheet1!$B$2:$B$522000)),ROW($A14:$F14))-1,3)</f>
        <v>0</v>
      </c>
      <c r="E16" s="4" cm="1">
        <f t="array" ref="E16">INDEX(Sheet1!$B$2:$F$522000,SMALL(IF(Sheet1!$A$2:$A$522000=$A$1,ROW(Sheet1!$B$2:$B$522000)),ROW($A14:$F14))-1,4)</f>
        <v>0</v>
      </c>
      <c r="F16" s="4" cm="1">
        <f t="array" ref="F16">INDEX(Sheet1!$B$2:$F$522000,SMALL(IF(Sheet1!$A$2:$A$522000=$A$1,ROW(Sheet1!$B$2:$B$522000)),ROW($A14:$F14))-1,5)</f>
        <v>0</v>
      </c>
      <c r="M16" s="9">
        <v>14</v>
      </c>
      <c r="N16" s="10">
        <f t="shared" si="2"/>
        <v>0</v>
      </c>
      <c r="O16" s="11">
        <f t="shared" si="3"/>
        <v>0</v>
      </c>
      <c r="P16" s="12">
        <f t="shared" si="4"/>
        <v>0</v>
      </c>
      <c r="Q16" s="13">
        <f t="shared" si="5"/>
        <v>0</v>
      </c>
      <c r="V16" s="14">
        <f t="shared" si="0"/>
        <v>0.109375</v>
      </c>
      <c r="W16" s="10">
        <f t="shared" si="6"/>
        <v>0</v>
      </c>
      <c r="X16" s="11">
        <f t="shared" si="1"/>
        <v>0</v>
      </c>
      <c r="Y16" s="12">
        <f t="shared" si="1"/>
        <v>0</v>
      </c>
      <c r="Z16" s="13">
        <f t="shared" si="1"/>
        <v>0</v>
      </c>
    </row>
    <row r="17" spans="1:26" x14ac:dyDescent="0.25">
      <c r="A17" s="4"/>
      <c r="B17" s="4">
        <v>15</v>
      </c>
      <c r="C17" s="4" cm="1">
        <f t="array" ref="C17">INDEX(Sheet1!$B$2:$F$522000,SMALL(IF(Sheet1!$A$2:$A$522000=$A$1,ROW(Sheet1!$B$2:$B$522000)),ROW($A15:$F15))-1,2)</f>
        <v>0</v>
      </c>
      <c r="D17" s="4" cm="1">
        <f t="array" ref="D17">INDEX(Sheet1!$B$2:$F$522000,SMALL(IF(Sheet1!$A$2:$A$522000=$A$1,ROW(Sheet1!$B$2:$B$522000)),ROW($A15:$F15))-1,3)</f>
        <v>0</v>
      </c>
      <c r="E17" s="4" cm="1">
        <f t="array" ref="E17">INDEX(Sheet1!$B$2:$F$522000,SMALL(IF(Sheet1!$A$2:$A$522000=$A$1,ROW(Sheet1!$B$2:$B$522000)),ROW($A15:$F15))-1,4)</f>
        <v>0</v>
      </c>
      <c r="F17" s="4" cm="1">
        <f t="array" ref="F17">INDEX(Sheet1!$B$2:$F$522000,SMALL(IF(Sheet1!$A$2:$A$522000=$A$1,ROW(Sheet1!$B$2:$B$522000)),ROW($A15:$F15))-1,5)</f>
        <v>0</v>
      </c>
      <c r="M17" s="9">
        <v>15</v>
      </c>
      <c r="N17" s="10">
        <f t="shared" si="2"/>
        <v>0</v>
      </c>
      <c r="O17" s="11">
        <f t="shared" si="3"/>
        <v>0</v>
      </c>
      <c r="P17" s="12">
        <f t="shared" si="4"/>
        <v>0</v>
      </c>
      <c r="Q17" s="13">
        <f t="shared" si="5"/>
        <v>0</v>
      </c>
      <c r="V17" s="14">
        <f t="shared" si="0"/>
        <v>0.1171875</v>
      </c>
      <c r="W17" s="10">
        <f t="shared" si="6"/>
        <v>0</v>
      </c>
      <c r="X17" s="11">
        <f t="shared" si="1"/>
        <v>0</v>
      </c>
      <c r="Y17" s="12">
        <f t="shared" si="1"/>
        <v>0</v>
      </c>
      <c r="Z17" s="13">
        <f t="shared" si="1"/>
        <v>0</v>
      </c>
    </row>
    <row r="18" spans="1:26" x14ac:dyDescent="0.25">
      <c r="A18" s="4"/>
      <c r="B18" s="4">
        <v>16</v>
      </c>
      <c r="C18" s="4" cm="1">
        <f t="array" ref="C18">INDEX(Sheet1!$B$2:$F$522000,SMALL(IF(Sheet1!$A$2:$A$522000=$A$1,ROW(Sheet1!$B$2:$B$522000)),ROW($A16:$F16))-1,2)</f>
        <v>0</v>
      </c>
      <c r="D18" s="4" cm="1">
        <f t="array" ref="D18">INDEX(Sheet1!$B$2:$F$522000,SMALL(IF(Sheet1!$A$2:$A$522000=$A$1,ROW(Sheet1!$B$2:$B$522000)),ROW($A16:$F16))-1,3)</f>
        <v>0</v>
      </c>
      <c r="E18" s="4" cm="1">
        <f t="array" ref="E18">INDEX(Sheet1!$B$2:$F$522000,SMALL(IF(Sheet1!$A$2:$A$522000=$A$1,ROW(Sheet1!$B$2:$B$522000)),ROW($A16:$F16))-1,4)</f>
        <v>0</v>
      </c>
      <c r="F18" s="4" cm="1">
        <f t="array" ref="F18">INDEX(Sheet1!$B$2:$F$522000,SMALL(IF(Sheet1!$A$2:$A$522000=$A$1,ROW(Sheet1!$B$2:$B$522000)),ROW($A16:$F16))-1,5)</f>
        <v>0</v>
      </c>
      <c r="M18" s="9">
        <v>16</v>
      </c>
      <c r="N18" s="10">
        <f t="shared" si="2"/>
        <v>0</v>
      </c>
      <c r="O18" s="11">
        <f t="shared" si="3"/>
        <v>0</v>
      </c>
      <c r="P18" s="12">
        <f t="shared" si="4"/>
        <v>0</v>
      </c>
      <c r="Q18" s="13">
        <f t="shared" si="5"/>
        <v>0</v>
      </c>
      <c r="V18" s="14">
        <f t="shared" si="0"/>
        <v>0.125</v>
      </c>
      <c r="W18" s="10">
        <f t="shared" si="6"/>
        <v>0</v>
      </c>
      <c r="X18" s="11">
        <f t="shared" si="1"/>
        <v>0</v>
      </c>
      <c r="Y18" s="12">
        <f t="shared" si="1"/>
        <v>0</v>
      </c>
      <c r="Z18" s="13">
        <f t="shared" si="1"/>
        <v>0</v>
      </c>
    </row>
    <row r="19" spans="1:26" x14ac:dyDescent="0.25">
      <c r="A19" s="4"/>
      <c r="B19" s="4">
        <v>17</v>
      </c>
      <c r="C19" s="4" cm="1">
        <f t="array" ref="C19">INDEX(Sheet1!$B$2:$F$522000,SMALL(IF(Sheet1!$A$2:$A$522000=$A$1,ROW(Sheet1!$B$2:$B$522000)),ROW($A17:$F17))-1,2)</f>
        <v>0</v>
      </c>
      <c r="D19" s="4" cm="1">
        <f t="array" ref="D19">INDEX(Sheet1!$B$2:$F$522000,SMALL(IF(Sheet1!$A$2:$A$522000=$A$1,ROW(Sheet1!$B$2:$B$522000)),ROW($A17:$F17))-1,3)</f>
        <v>0</v>
      </c>
      <c r="E19" s="4" cm="1">
        <f t="array" ref="E19">INDEX(Sheet1!$B$2:$F$522000,SMALL(IF(Sheet1!$A$2:$A$522000=$A$1,ROW(Sheet1!$B$2:$B$522000)),ROW($A17:$F17))-1,4)</f>
        <v>0</v>
      </c>
      <c r="F19" s="4" cm="1">
        <f t="array" ref="F19">INDEX(Sheet1!$B$2:$F$522000,SMALL(IF(Sheet1!$A$2:$A$522000=$A$1,ROW(Sheet1!$B$2:$B$522000)),ROW($A17:$F17))-1,5)</f>
        <v>0</v>
      </c>
      <c r="M19" s="9">
        <v>17</v>
      </c>
      <c r="N19" s="10">
        <f t="shared" si="2"/>
        <v>0</v>
      </c>
      <c r="O19" s="11">
        <f t="shared" si="3"/>
        <v>0</v>
      </c>
      <c r="P19" s="12">
        <f t="shared" si="4"/>
        <v>0</v>
      </c>
      <c r="Q19" s="13">
        <f t="shared" si="5"/>
        <v>0</v>
      </c>
      <c r="V19" s="14">
        <f t="shared" si="0"/>
        <v>0.1328125</v>
      </c>
      <c r="W19" s="10">
        <f t="shared" si="6"/>
        <v>0</v>
      </c>
      <c r="X19" s="11">
        <f t="shared" si="6"/>
        <v>0</v>
      </c>
      <c r="Y19" s="12">
        <f t="shared" si="6"/>
        <v>0</v>
      </c>
      <c r="Z19" s="13">
        <f t="shared" si="6"/>
        <v>0</v>
      </c>
    </row>
    <row r="20" spans="1:26" x14ac:dyDescent="0.25">
      <c r="A20" s="4"/>
      <c r="B20" s="4">
        <v>18</v>
      </c>
      <c r="C20" s="4" cm="1">
        <f t="array" ref="C20">INDEX(Sheet1!$B$2:$F$522000,SMALL(IF(Sheet1!$A$2:$A$522000=$A$1,ROW(Sheet1!$B$2:$B$522000)),ROW($A18:$F18))-1,2)</f>
        <v>0</v>
      </c>
      <c r="D20" s="4" cm="1">
        <f t="array" ref="D20">INDEX(Sheet1!$B$2:$F$522000,SMALL(IF(Sheet1!$A$2:$A$522000=$A$1,ROW(Sheet1!$B$2:$B$522000)),ROW($A18:$F18))-1,3)</f>
        <v>0</v>
      </c>
      <c r="E20" s="4" cm="1">
        <f t="array" ref="E20">INDEX(Sheet1!$B$2:$F$522000,SMALL(IF(Sheet1!$A$2:$A$522000=$A$1,ROW(Sheet1!$B$2:$B$522000)),ROW($A18:$F18))-1,4)</f>
        <v>0</v>
      </c>
      <c r="F20" s="4" cm="1">
        <f t="array" ref="F20">INDEX(Sheet1!$B$2:$F$522000,SMALL(IF(Sheet1!$A$2:$A$522000=$A$1,ROW(Sheet1!$B$2:$B$522000)),ROW($A18:$F18))-1,5)</f>
        <v>0</v>
      </c>
      <c r="M20" s="9">
        <v>18</v>
      </c>
      <c r="N20" s="10">
        <f t="shared" si="2"/>
        <v>0</v>
      </c>
      <c r="O20" s="11">
        <f t="shared" si="3"/>
        <v>0</v>
      </c>
      <c r="P20" s="12">
        <f t="shared" si="4"/>
        <v>0</v>
      </c>
      <c r="Q20" s="13">
        <f t="shared" si="5"/>
        <v>0</v>
      </c>
      <c r="V20" s="14">
        <f t="shared" si="0"/>
        <v>0.140625</v>
      </c>
      <c r="W20" s="10">
        <f t="shared" si="6"/>
        <v>0</v>
      </c>
      <c r="X20" s="11">
        <f t="shared" si="6"/>
        <v>0</v>
      </c>
      <c r="Y20" s="12">
        <f t="shared" si="6"/>
        <v>0</v>
      </c>
      <c r="Z20" s="13">
        <f t="shared" si="6"/>
        <v>0</v>
      </c>
    </row>
    <row r="21" spans="1:26" x14ac:dyDescent="0.25">
      <c r="A21" s="4"/>
      <c r="B21" s="4">
        <v>19</v>
      </c>
      <c r="C21" s="4" cm="1">
        <f t="array" ref="C21">INDEX(Sheet1!$B$2:$F$522000,SMALL(IF(Sheet1!$A$2:$A$522000=$A$1,ROW(Sheet1!$B$2:$B$522000)),ROW($A19:$F19))-1,2)</f>
        <v>0</v>
      </c>
      <c r="D21" s="4" cm="1">
        <f t="array" ref="D21">INDEX(Sheet1!$B$2:$F$522000,SMALL(IF(Sheet1!$A$2:$A$522000=$A$1,ROW(Sheet1!$B$2:$B$522000)),ROW($A19:$F19))-1,3)</f>
        <v>0</v>
      </c>
      <c r="E21" s="4" cm="1">
        <f t="array" ref="E21">INDEX(Sheet1!$B$2:$F$522000,SMALL(IF(Sheet1!$A$2:$A$522000=$A$1,ROW(Sheet1!$B$2:$B$522000)),ROW($A19:$F19))-1,4)</f>
        <v>0</v>
      </c>
      <c r="F21" s="4" cm="1">
        <f t="array" ref="F21">INDEX(Sheet1!$B$2:$F$522000,SMALL(IF(Sheet1!$A$2:$A$522000=$A$1,ROW(Sheet1!$B$2:$B$522000)),ROW($A19:$F19))-1,5)</f>
        <v>0</v>
      </c>
      <c r="M21" s="9">
        <v>19</v>
      </c>
      <c r="N21" s="10">
        <f t="shared" si="2"/>
        <v>0</v>
      </c>
      <c r="O21" s="11">
        <f t="shared" si="3"/>
        <v>0</v>
      </c>
      <c r="P21" s="12">
        <f t="shared" si="4"/>
        <v>0</v>
      </c>
      <c r="Q21" s="13">
        <f t="shared" si="5"/>
        <v>0</v>
      </c>
      <c r="V21" s="14">
        <f t="shared" si="0"/>
        <v>0.1484375</v>
      </c>
      <c r="W21" s="10">
        <f t="shared" si="6"/>
        <v>0</v>
      </c>
      <c r="X21" s="11">
        <f t="shared" si="6"/>
        <v>0</v>
      </c>
      <c r="Y21" s="12">
        <f t="shared" si="6"/>
        <v>0</v>
      </c>
      <c r="Z21" s="13">
        <f t="shared" si="6"/>
        <v>0</v>
      </c>
    </row>
    <row r="22" spans="1:26" x14ac:dyDescent="0.25">
      <c r="A22" s="4"/>
      <c r="B22" s="4">
        <v>20</v>
      </c>
      <c r="C22" s="4" cm="1">
        <f t="array" ref="C22">INDEX(Sheet1!$B$2:$F$522000,SMALL(IF(Sheet1!$A$2:$A$522000=$A$1,ROW(Sheet1!$B$2:$B$522000)),ROW($A20:$F20))-1,2)</f>
        <v>0</v>
      </c>
      <c r="D22" s="4" cm="1">
        <f t="array" ref="D22">INDEX(Sheet1!$B$2:$F$522000,SMALL(IF(Sheet1!$A$2:$A$522000=$A$1,ROW(Sheet1!$B$2:$B$522000)),ROW($A20:$F20))-1,3)</f>
        <v>0</v>
      </c>
      <c r="E22" s="4" cm="1">
        <f t="array" ref="E22">INDEX(Sheet1!$B$2:$F$522000,SMALL(IF(Sheet1!$A$2:$A$522000=$A$1,ROW(Sheet1!$B$2:$B$522000)),ROW($A20:$F20))-1,4)</f>
        <v>0</v>
      </c>
      <c r="F22" s="4" cm="1">
        <f t="array" ref="F22">INDEX(Sheet1!$B$2:$F$522000,SMALL(IF(Sheet1!$A$2:$A$522000=$A$1,ROW(Sheet1!$B$2:$B$522000)),ROW($A20:$F20))-1,5)</f>
        <v>0</v>
      </c>
      <c r="M22" s="9">
        <v>20</v>
      </c>
      <c r="N22" s="10">
        <f t="shared" si="2"/>
        <v>0</v>
      </c>
      <c r="O22" s="11">
        <f t="shared" si="3"/>
        <v>0</v>
      </c>
      <c r="P22" s="12">
        <f t="shared" si="4"/>
        <v>0</v>
      </c>
      <c r="Q22" s="13">
        <f t="shared" si="5"/>
        <v>0</v>
      </c>
      <c r="V22" s="14">
        <f t="shared" si="0"/>
        <v>0.15625</v>
      </c>
      <c r="W22" s="10">
        <f t="shared" si="6"/>
        <v>0</v>
      </c>
      <c r="X22" s="11">
        <f t="shared" si="6"/>
        <v>0</v>
      </c>
      <c r="Y22" s="12">
        <f t="shared" si="6"/>
        <v>0</v>
      </c>
      <c r="Z22" s="13">
        <f t="shared" si="6"/>
        <v>0</v>
      </c>
    </row>
    <row r="23" spans="1:26" x14ac:dyDescent="0.25">
      <c r="A23" s="4"/>
      <c r="B23" s="4">
        <v>21</v>
      </c>
      <c r="C23" s="4" cm="1">
        <f t="array" ref="C23">INDEX(Sheet1!$B$2:$F$522000,SMALL(IF(Sheet1!$A$2:$A$522000=$A$1,ROW(Sheet1!$B$2:$B$522000)),ROW($A21:$F21))-1,2)</f>
        <v>0</v>
      </c>
      <c r="D23" s="4" cm="1">
        <f t="array" ref="D23">INDEX(Sheet1!$B$2:$F$522000,SMALL(IF(Sheet1!$A$2:$A$522000=$A$1,ROW(Sheet1!$B$2:$B$522000)),ROW($A21:$F21))-1,3)</f>
        <v>0</v>
      </c>
      <c r="E23" s="4" cm="1">
        <f t="array" ref="E23">INDEX(Sheet1!$B$2:$F$522000,SMALL(IF(Sheet1!$A$2:$A$522000=$A$1,ROW(Sheet1!$B$2:$B$522000)),ROW($A21:$F21))-1,4)</f>
        <v>0</v>
      </c>
      <c r="F23" s="4" cm="1">
        <f t="array" ref="F23">INDEX(Sheet1!$B$2:$F$522000,SMALL(IF(Sheet1!$A$2:$A$522000=$A$1,ROW(Sheet1!$B$2:$B$522000)),ROW($A21:$F21))-1,5)</f>
        <v>0</v>
      </c>
      <c r="M23" s="9">
        <v>21</v>
      </c>
      <c r="N23" s="10">
        <f t="shared" si="2"/>
        <v>0</v>
      </c>
      <c r="O23" s="11">
        <f t="shared" si="3"/>
        <v>0</v>
      </c>
      <c r="P23" s="12">
        <f t="shared" si="4"/>
        <v>0</v>
      </c>
      <c r="Q23" s="13">
        <f t="shared" si="5"/>
        <v>0</v>
      </c>
      <c r="V23" s="14">
        <f t="shared" si="0"/>
        <v>0.1640625</v>
      </c>
      <c r="W23" s="10">
        <f t="shared" si="6"/>
        <v>0</v>
      </c>
      <c r="X23" s="11">
        <f t="shared" si="6"/>
        <v>0</v>
      </c>
      <c r="Y23" s="12">
        <f t="shared" si="6"/>
        <v>0</v>
      </c>
      <c r="Z23" s="13">
        <f t="shared" si="6"/>
        <v>0</v>
      </c>
    </row>
    <row r="24" spans="1:26" x14ac:dyDescent="0.25">
      <c r="A24" s="4"/>
      <c r="B24" s="4">
        <v>22</v>
      </c>
      <c r="C24" s="4" cm="1">
        <f t="array" ref="C24">INDEX(Sheet1!$B$2:$F$522000,SMALL(IF(Sheet1!$A$2:$A$522000=$A$1,ROW(Sheet1!$B$2:$B$522000)),ROW($A22:$F22))-1,2)</f>
        <v>0</v>
      </c>
      <c r="D24" s="4" cm="1">
        <f t="array" ref="D24">INDEX(Sheet1!$B$2:$F$522000,SMALL(IF(Sheet1!$A$2:$A$522000=$A$1,ROW(Sheet1!$B$2:$B$522000)),ROW($A22:$F22))-1,3)</f>
        <v>0</v>
      </c>
      <c r="E24" s="4" cm="1">
        <f t="array" ref="E24">INDEX(Sheet1!$B$2:$F$522000,SMALL(IF(Sheet1!$A$2:$A$522000=$A$1,ROW(Sheet1!$B$2:$B$522000)),ROW($A22:$F22))-1,4)</f>
        <v>0</v>
      </c>
      <c r="F24" s="4" cm="1">
        <f t="array" ref="F24">INDEX(Sheet1!$B$2:$F$522000,SMALL(IF(Sheet1!$A$2:$A$522000=$A$1,ROW(Sheet1!$B$2:$B$522000)),ROW($A22:$F22))-1,5)</f>
        <v>0</v>
      </c>
      <c r="M24" s="9">
        <v>22</v>
      </c>
      <c r="N24" s="10">
        <f t="shared" si="2"/>
        <v>0</v>
      </c>
      <c r="O24" s="11">
        <f t="shared" si="3"/>
        <v>0</v>
      </c>
      <c r="P24" s="12">
        <f t="shared" si="4"/>
        <v>0</v>
      </c>
      <c r="Q24" s="13">
        <f t="shared" si="5"/>
        <v>0</v>
      </c>
      <c r="V24" s="14">
        <f t="shared" si="0"/>
        <v>0.171875</v>
      </c>
      <c r="W24" s="10">
        <f t="shared" si="6"/>
        <v>0</v>
      </c>
      <c r="X24" s="11">
        <f t="shared" si="6"/>
        <v>0</v>
      </c>
      <c r="Y24" s="12">
        <f t="shared" si="6"/>
        <v>0</v>
      </c>
      <c r="Z24" s="13">
        <f t="shared" si="6"/>
        <v>0</v>
      </c>
    </row>
    <row r="25" spans="1:26" x14ac:dyDescent="0.25">
      <c r="A25" s="4"/>
      <c r="B25" s="4">
        <v>23</v>
      </c>
      <c r="C25" s="4" cm="1">
        <f t="array" ref="C25">INDEX(Sheet1!$B$2:$F$522000,SMALL(IF(Sheet1!$A$2:$A$522000=$A$1,ROW(Sheet1!$B$2:$B$522000)),ROW($A23:$F23))-1,2)</f>
        <v>0</v>
      </c>
      <c r="D25" s="4" cm="1">
        <f t="array" ref="D25">INDEX(Sheet1!$B$2:$F$522000,SMALL(IF(Sheet1!$A$2:$A$522000=$A$1,ROW(Sheet1!$B$2:$B$522000)),ROW($A23:$F23))-1,3)</f>
        <v>0</v>
      </c>
      <c r="E25" s="4" cm="1">
        <f t="array" ref="E25">INDEX(Sheet1!$B$2:$F$522000,SMALL(IF(Sheet1!$A$2:$A$522000=$A$1,ROW(Sheet1!$B$2:$B$522000)),ROW($A23:$F23))-1,4)</f>
        <v>0</v>
      </c>
      <c r="F25" s="4" cm="1">
        <f t="array" ref="F25">INDEX(Sheet1!$B$2:$F$522000,SMALL(IF(Sheet1!$A$2:$A$522000=$A$1,ROW(Sheet1!$B$2:$B$522000)),ROW($A23:$F23))-1,5)</f>
        <v>0</v>
      </c>
      <c r="M25" s="9">
        <v>23</v>
      </c>
      <c r="N25" s="10">
        <f t="shared" si="2"/>
        <v>0</v>
      </c>
      <c r="O25" s="11">
        <f t="shared" si="3"/>
        <v>0</v>
      </c>
      <c r="P25" s="12">
        <f t="shared" si="4"/>
        <v>0</v>
      </c>
      <c r="Q25" s="13">
        <f t="shared" si="5"/>
        <v>0</v>
      </c>
      <c r="V25" s="14">
        <f t="shared" si="0"/>
        <v>0.1796875</v>
      </c>
      <c r="W25" s="10">
        <f t="shared" si="6"/>
        <v>0</v>
      </c>
      <c r="X25" s="11">
        <f t="shared" si="6"/>
        <v>0</v>
      </c>
      <c r="Y25" s="12">
        <f t="shared" si="6"/>
        <v>0</v>
      </c>
      <c r="Z25" s="13">
        <f t="shared" si="6"/>
        <v>0</v>
      </c>
    </row>
    <row r="26" spans="1:26" x14ac:dyDescent="0.25">
      <c r="A26" s="4"/>
      <c r="B26" s="4">
        <v>24</v>
      </c>
      <c r="C26" s="4" cm="1">
        <f t="array" ref="C26">INDEX(Sheet1!$B$2:$F$522000,SMALL(IF(Sheet1!$A$2:$A$522000=$A$1,ROW(Sheet1!$B$2:$B$522000)),ROW($A24:$F24))-1,2)</f>
        <v>0</v>
      </c>
      <c r="D26" s="4" cm="1">
        <f t="array" ref="D26">INDEX(Sheet1!$B$2:$F$522000,SMALL(IF(Sheet1!$A$2:$A$522000=$A$1,ROW(Sheet1!$B$2:$B$522000)),ROW($A24:$F24))-1,3)</f>
        <v>0</v>
      </c>
      <c r="E26" s="4" cm="1">
        <f t="array" ref="E26">INDEX(Sheet1!$B$2:$F$522000,SMALL(IF(Sheet1!$A$2:$A$522000=$A$1,ROW(Sheet1!$B$2:$B$522000)),ROW($A24:$F24))-1,4)</f>
        <v>0</v>
      </c>
      <c r="F26" s="4" cm="1">
        <f t="array" ref="F26">INDEX(Sheet1!$B$2:$F$522000,SMALL(IF(Sheet1!$A$2:$A$522000=$A$1,ROW(Sheet1!$B$2:$B$522000)),ROW($A24:$F24))-1,5)</f>
        <v>0</v>
      </c>
      <c r="M26" s="9">
        <v>24</v>
      </c>
      <c r="N26" s="10">
        <f t="shared" si="2"/>
        <v>0</v>
      </c>
      <c r="O26" s="11">
        <f t="shared" si="3"/>
        <v>0</v>
      </c>
      <c r="P26" s="12">
        <f t="shared" si="4"/>
        <v>0</v>
      </c>
      <c r="Q26" s="13">
        <f t="shared" si="5"/>
        <v>0</v>
      </c>
      <c r="V26" s="14">
        <f t="shared" si="0"/>
        <v>0.1875</v>
      </c>
      <c r="W26" s="10">
        <f t="shared" si="6"/>
        <v>0</v>
      </c>
      <c r="X26" s="11">
        <f t="shared" si="6"/>
        <v>0</v>
      </c>
      <c r="Y26" s="12">
        <f t="shared" si="6"/>
        <v>0</v>
      </c>
      <c r="Z26" s="13">
        <f t="shared" si="6"/>
        <v>0</v>
      </c>
    </row>
    <row r="27" spans="1:26" x14ac:dyDescent="0.25">
      <c r="A27" s="4"/>
      <c r="B27" s="4">
        <v>25</v>
      </c>
      <c r="C27" s="4" cm="1">
        <f t="array" ref="C27">INDEX(Sheet1!$B$2:$F$522000,SMALL(IF(Sheet1!$A$2:$A$522000=$A$1,ROW(Sheet1!$B$2:$B$522000)),ROW($A25:$F25))-1,2)</f>
        <v>0</v>
      </c>
      <c r="D27" s="4" cm="1">
        <f t="array" ref="D27">INDEX(Sheet1!$B$2:$F$522000,SMALL(IF(Sheet1!$A$2:$A$522000=$A$1,ROW(Sheet1!$B$2:$B$522000)),ROW($A25:$F25))-1,3)</f>
        <v>0</v>
      </c>
      <c r="E27" s="4" cm="1">
        <f t="array" ref="E27">INDEX(Sheet1!$B$2:$F$522000,SMALL(IF(Sheet1!$A$2:$A$522000=$A$1,ROW(Sheet1!$B$2:$B$522000)),ROW($A25:$F25))-1,4)</f>
        <v>0</v>
      </c>
      <c r="F27" s="4" cm="1">
        <f t="array" ref="F27">INDEX(Sheet1!$B$2:$F$522000,SMALL(IF(Sheet1!$A$2:$A$522000=$A$1,ROW(Sheet1!$B$2:$B$522000)),ROW($A25:$F25))-1,5)</f>
        <v>0</v>
      </c>
      <c r="M27" s="9">
        <v>25</v>
      </c>
      <c r="N27" s="10">
        <f t="shared" si="2"/>
        <v>0</v>
      </c>
      <c r="O27" s="11">
        <f t="shared" si="3"/>
        <v>0</v>
      </c>
      <c r="P27" s="12">
        <f t="shared" si="4"/>
        <v>0</v>
      </c>
      <c r="Q27" s="13">
        <f t="shared" si="5"/>
        <v>0</v>
      </c>
      <c r="V27" s="14">
        <f t="shared" si="0"/>
        <v>0.1953125</v>
      </c>
      <c r="W27" s="10">
        <f t="shared" si="6"/>
        <v>0</v>
      </c>
      <c r="X27" s="11">
        <f t="shared" si="6"/>
        <v>0</v>
      </c>
      <c r="Y27" s="12">
        <f t="shared" si="6"/>
        <v>0</v>
      </c>
      <c r="Z27" s="13">
        <f t="shared" si="6"/>
        <v>0</v>
      </c>
    </row>
    <row r="28" spans="1:26" x14ac:dyDescent="0.25">
      <c r="A28" s="4"/>
      <c r="B28" s="4">
        <v>26</v>
      </c>
      <c r="C28" s="4" cm="1">
        <f t="array" ref="C28">INDEX(Sheet1!$B$2:$F$522000,SMALL(IF(Sheet1!$A$2:$A$522000=$A$1,ROW(Sheet1!$B$2:$B$522000)),ROW($A26:$F26))-1,2)</f>
        <v>0</v>
      </c>
      <c r="D28" s="4" cm="1">
        <f t="array" ref="D28">INDEX(Sheet1!$B$2:$F$522000,SMALL(IF(Sheet1!$A$2:$A$522000=$A$1,ROW(Sheet1!$B$2:$B$522000)),ROW($A26:$F26))-1,3)</f>
        <v>0</v>
      </c>
      <c r="E28" s="4" cm="1">
        <f t="array" ref="E28">INDEX(Sheet1!$B$2:$F$522000,SMALL(IF(Sheet1!$A$2:$A$522000=$A$1,ROW(Sheet1!$B$2:$B$522000)),ROW($A26:$F26))-1,4)</f>
        <v>0</v>
      </c>
      <c r="F28" s="4" cm="1">
        <f t="array" ref="F28">INDEX(Sheet1!$B$2:$F$522000,SMALL(IF(Sheet1!$A$2:$A$522000=$A$1,ROW(Sheet1!$B$2:$B$522000)),ROW($A26:$F26))-1,5)</f>
        <v>0</v>
      </c>
      <c r="M28" s="9">
        <v>26</v>
      </c>
      <c r="N28" s="10">
        <f t="shared" si="2"/>
        <v>0</v>
      </c>
      <c r="O28" s="11">
        <f t="shared" si="3"/>
        <v>0</v>
      </c>
      <c r="P28" s="12">
        <f t="shared" si="4"/>
        <v>0</v>
      </c>
      <c r="Q28" s="13">
        <f t="shared" si="5"/>
        <v>0</v>
      </c>
      <c r="V28" s="14">
        <f t="shared" si="0"/>
        <v>0.203125</v>
      </c>
      <c r="W28" s="10">
        <f t="shared" si="6"/>
        <v>0</v>
      </c>
      <c r="X28" s="11">
        <f t="shared" si="6"/>
        <v>0</v>
      </c>
      <c r="Y28" s="12">
        <f t="shared" si="6"/>
        <v>0</v>
      </c>
      <c r="Z28" s="13">
        <f t="shared" si="6"/>
        <v>0</v>
      </c>
    </row>
    <row r="29" spans="1:26" x14ac:dyDescent="0.25">
      <c r="A29" s="4"/>
      <c r="B29" s="4">
        <v>27</v>
      </c>
      <c r="C29" s="4" cm="1">
        <f t="array" ref="C29">INDEX(Sheet1!$B$2:$F$522000,SMALL(IF(Sheet1!$A$2:$A$522000=$A$1,ROW(Sheet1!$B$2:$B$522000)),ROW($A27:$F27))-1,2)</f>
        <v>0</v>
      </c>
      <c r="D29" s="4" cm="1">
        <f t="array" ref="D29">INDEX(Sheet1!$B$2:$F$522000,SMALL(IF(Sheet1!$A$2:$A$522000=$A$1,ROW(Sheet1!$B$2:$B$522000)),ROW($A27:$F27))-1,3)</f>
        <v>0</v>
      </c>
      <c r="E29" s="4" cm="1">
        <f t="array" ref="E29">INDEX(Sheet1!$B$2:$F$522000,SMALL(IF(Sheet1!$A$2:$A$522000=$A$1,ROW(Sheet1!$B$2:$B$522000)),ROW($A27:$F27))-1,4)</f>
        <v>0</v>
      </c>
      <c r="F29" s="4" cm="1">
        <f t="array" ref="F29">INDEX(Sheet1!$B$2:$F$522000,SMALL(IF(Sheet1!$A$2:$A$522000=$A$1,ROW(Sheet1!$B$2:$B$522000)),ROW($A27:$F27))-1,5)</f>
        <v>0</v>
      </c>
      <c r="M29" s="9">
        <v>27</v>
      </c>
      <c r="N29" s="10">
        <f t="shared" si="2"/>
        <v>0</v>
      </c>
      <c r="O29" s="11">
        <f t="shared" si="3"/>
        <v>0</v>
      </c>
      <c r="P29" s="12">
        <f t="shared" si="4"/>
        <v>0</v>
      </c>
      <c r="Q29" s="13">
        <f t="shared" si="5"/>
        <v>0</v>
      </c>
      <c r="V29" s="14">
        <f t="shared" si="0"/>
        <v>0.2109375</v>
      </c>
      <c r="W29" s="10">
        <f t="shared" si="6"/>
        <v>0</v>
      </c>
      <c r="X29" s="11">
        <f t="shared" si="6"/>
        <v>0</v>
      </c>
      <c r="Y29" s="12">
        <f t="shared" si="6"/>
        <v>0</v>
      </c>
      <c r="Z29" s="13">
        <f t="shared" si="6"/>
        <v>0</v>
      </c>
    </row>
    <row r="30" spans="1:26" x14ac:dyDescent="0.25">
      <c r="A30" s="4"/>
      <c r="B30" s="4">
        <v>28</v>
      </c>
      <c r="C30" s="4" cm="1">
        <f t="array" ref="C30">INDEX(Sheet1!$B$2:$F$522000,SMALL(IF(Sheet1!$A$2:$A$522000=$A$1,ROW(Sheet1!$B$2:$B$522000)),ROW($A28:$F28))-1,2)</f>
        <v>0</v>
      </c>
      <c r="D30" s="4" cm="1">
        <f t="array" ref="D30">INDEX(Sheet1!$B$2:$F$522000,SMALL(IF(Sheet1!$A$2:$A$522000=$A$1,ROW(Sheet1!$B$2:$B$522000)),ROW($A28:$F28))-1,3)</f>
        <v>0</v>
      </c>
      <c r="E30" s="4" cm="1">
        <f t="array" ref="E30">INDEX(Sheet1!$B$2:$F$522000,SMALL(IF(Sheet1!$A$2:$A$522000=$A$1,ROW(Sheet1!$B$2:$B$522000)),ROW($A28:$F28))-1,4)</f>
        <v>0</v>
      </c>
      <c r="F30" s="4" cm="1">
        <f t="array" ref="F30">INDEX(Sheet1!$B$2:$F$522000,SMALL(IF(Sheet1!$A$2:$A$522000=$A$1,ROW(Sheet1!$B$2:$B$522000)),ROW($A28:$F28))-1,5)</f>
        <v>0</v>
      </c>
      <c r="M30" s="9">
        <v>28</v>
      </c>
      <c r="N30" s="10">
        <f t="shared" si="2"/>
        <v>0</v>
      </c>
      <c r="O30" s="11">
        <f t="shared" si="3"/>
        <v>0</v>
      </c>
      <c r="P30" s="12">
        <f t="shared" si="4"/>
        <v>0</v>
      </c>
      <c r="Q30" s="13">
        <f t="shared" si="5"/>
        <v>0</v>
      </c>
      <c r="V30" s="14">
        <f t="shared" si="0"/>
        <v>0.21875</v>
      </c>
      <c r="W30" s="10">
        <f t="shared" si="6"/>
        <v>0</v>
      </c>
      <c r="X30" s="11">
        <f t="shared" si="6"/>
        <v>0</v>
      </c>
      <c r="Y30" s="12">
        <f t="shared" si="6"/>
        <v>0</v>
      </c>
      <c r="Z30" s="13">
        <f t="shared" si="6"/>
        <v>0</v>
      </c>
    </row>
    <row r="31" spans="1:26" x14ac:dyDescent="0.25">
      <c r="A31" s="4"/>
      <c r="B31" s="4">
        <v>29</v>
      </c>
      <c r="C31" s="4" cm="1">
        <f t="array" ref="C31">INDEX(Sheet1!$B$2:$F$522000,SMALL(IF(Sheet1!$A$2:$A$522000=$A$1,ROW(Sheet1!$B$2:$B$522000)),ROW($A29:$F29))-1,2)</f>
        <v>0</v>
      </c>
      <c r="D31" s="4" cm="1">
        <f t="array" ref="D31">INDEX(Sheet1!$B$2:$F$522000,SMALL(IF(Sheet1!$A$2:$A$522000=$A$1,ROW(Sheet1!$B$2:$B$522000)),ROW($A29:$F29))-1,3)</f>
        <v>0</v>
      </c>
      <c r="E31" s="4" cm="1">
        <f t="array" ref="E31">INDEX(Sheet1!$B$2:$F$522000,SMALL(IF(Sheet1!$A$2:$A$522000=$A$1,ROW(Sheet1!$B$2:$B$522000)),ROW($A29:$F29))-1,4)</f>
        <v>0</v>
      </c>
      <c r="F31" s="4" cm="1">
        <f t="array" ref="F31">INDEX(Sheet1!$B$2:$F$522000,SMALL(IF(Sheet1!$A$2:$A$522000=$A$1,ROW(Sheet1!$B$2:$B$522000)),ROW($A29:$F29))-1,5)</f>
        <v>0</v>
      </c>
      <c r="M31" s="9">
        <v>29</v>
      </c>
      <c r="N31" s="10">
        <f t="shared" si="2"/>
        <v>0</v>
      </c>
      <c r="O31" s="11">
        <f t="shared" si="3"/>
        <v>0</v>
      </c>
      <c r="P31" s="12">
        <f t="shared" si="4"/>
        <v>0</v>
      </c>
      <c r="Q31" s="13">
        <f t="shared" si="5"/>
        <v>0</v>
      </c>
      <c r="V31" s="14">
        <f t="shared" si="0"/>
        <v>0.2265625</v>
      </c>
      <c r="W31" s="10">
        <f t="shared" si="6"/>
        <v>0</v>
      </c>
      <c r="X31" s="11">
        <f t="shared" si="6"/>
        <v>0</v>
      </c>
      <c r="Y31" s="12">
        <f t="shared" si="6"/>
        <v>0</v>
      </c>
      <c r="Z31" s="13">
        <f t="shared" si="6"/>
        <v>0</v>
      </c>
    </row>
    <row r="32" spans="1:26" x14ac:dyDescent="0.25">
      <c r="A32" s="4"/>
      <c r="B32" s="4">
        <v>30</v>
      </c>
      <c r="C32" s="4" cm="1">
        <f t="array" ref="C32">INDEX(Sheet1!$B$2:$F$522000,SMALL(IF(Sheet1!$A$2:$A$522000=$A$1,ROW(Sheet1!$B$2:$B$522000)),ROW($A30:$F30))-1,2)</f>
        <v>0</v>
      </c>
      <c r="D32" s="4" cm="1">
        <f t="array" ref="D32">INDEX(Sheet1!$B$2:$F$522000,SMALL(IF(Sheet1!$A$2:$A$522000=$A$1,ROW(Sheet1!$B$2:$B$522000)),ROW($A30:$F30))-1,3)</f>
        <v>0</v>
      </c>
      <c r="E32" s="4" cm="1">
        <f t="array" ref="E32">INDEX(Sheet1!$B$2:$F$522000,SMALL(IF(Sheet1!$A$2:$A$522000=$A$1,ROW(Sheet1!$B$2:$B$522000)),ROW($A30:$F30))-1,4)</f>
        <v>0</v>
      </c>
      <c r="F32" s="4" cm="1">
        <f t="array" ref="F32">INDEX(Sheet1!$B$2:$F$522000,SMALL(IF(Sheet1!$A$2:$A$522000=$A$1,ROW(Sheet1!$B$2:$B$522000)),ROW($A30:$F30))-1,5)</f>
        <v>0</v>
      </c>
      <c r="M32" s="9">
        <v>30</v>
      </c>
      <c r="N32" s="10">
        <f t="shared" si="2"/>
        <v>0</v>
      </c>
      <c r="O32" s="11">
        <f t="shared" si="3"/>
        <v>0</v>
      </c>
      <c r="P32" s="12">
        <f t="shared" si="4"/>
        <v>0</v>
      </c>
      <c r="Q32" s="13">
        <f t="shared" si="5"/>
        <v>0</v>
      </c>
      <c r="V32" s="14">
        <f t="shared" si="0"/>
        <v>0.234375</v>
      </c>
      <c r="W32" s="10">
        <f t="shared" si="6"/>
        <v>0</v>
      </c>
      <c r="X32" s="11">
        <f t="shared" si="6"/>
        <v>0</v>
      </c>
      <c r="Y32" s="12">
        <f t="shared" si="6"/>
        <v>0</v>
      </c>
      <c r="Z32" s="13">
        <f t="shared" si="6"/>
        <v>0</v>
      </c>
    </row>
    <row r="33" spans="1:26" x14ac:dyDescent="0.25">
      <c r="A33" s="4"/>
      <c r="B33" s="4">
        <v>31</v>
      </c>
      <c r="C33" s="4" cm="1">
        <f t="array" ref="C33">INDEX(Sheet1!$B$2:$F$522000,SMALL(IF(Sheet1!$A$2:$A$522000=$A$1,ROW(Sheet1!$B$2:$B$522000)),ROW($A31:$F31))-1,2)</f>
        <v>0</v>
      </c>
      <c r="D33" s="4" cm="1">
        <f t="array" ref="D33">INDEX(Sheet1!$B$2:$F$522000,SMALL(IF(Sheet1!$A$2:$A$522000=$A$1,ROW(Sheet1!$B$2:$B$522000)),ROW($A31:$F31))-1,3)</f>
        <v>0</v>
      </c>
      <c r="E33" s="4" cm="1">
        <f t="array" ref="E33">INDEX(Sheet1!$B$2:$F$522000,SMALL(IF(Sheet1!$A$2:$A$522000=$A$1,ROW(Sheet1!$B$2:$B$522000)),ROW($A31:$F31))-1,4)</f>
        <v>0</v>
      </c>
      <c r="F33" s="4" cm="1">
        <f t="array" ref="F33">INDEX(Sheet1!$B$2:$F$522000,SMALL(IF(Sheet1!$A$2:$A$522000=$A$1,ROW(Sheet1!$B$2:$B$522000)),ROW($A31:$F31))-1,5)</f>
        <v>0</v>
      </c>
      <c r="M33" s="9">
        <v>31</v>
      </c>
      <c r="N33" s="10">
        <f t="shared" si="2"/>
        <v>0</v>
      </c>
      <c r="O33" s="11">
        <f t="shared" si="3"/>
        <v>0</v>
      </c>
      <c r="P33" s="12">
        <f t="shared" si="4"/>
        <v>0</v>
      </c>
      <c r="Q33" s="13">
        <f t="shared" si="5"/>
        <v>0</v>
      </c>
      <c r="V33" s="14">
        <f t="shared" si="0"/>
        <v>0.2421875</v>
      </c>
      <c r="W33" s="10">
        <f t="shared" si="6"/>
        <v>0</v>
      </c>
      <c r="X33" s="11">
        <f t="shared" si="6"/>
        <v>0</v>
      </c>
      <c r="Y33" s="12">
        <f t="shared" si="6"/>
        <v>0</v>
      </c>
      <c r="Z33" s="13">
        <f t="shared" si="6"/>
        <v>0</v>
      </c>
    </row>
    <row r="34" spans="1:26" x14ac:dyDescent="0.25">
      <c r="A34" s="4"/>
      <c r="B34" s="4">
        <v>32</v>
      </c>
      <c r="C34" s="4" cm="1">
        <f t="array" ref="C34">INDEX(Sheet1!$B$2:$F$522000,SMALL(IF(Sheet1!$A$2:$A$522000=$A$1,ROW(Sheet1!$B$2:$B$522000)),ROW($A32:$F32))-1,2)</f>
        <v>0</v>
      </c>
      <c r="D34" s="4" cm="1">
        <f t="array" ref="D34">INDEX(Sheet1!$B$2:$F$522000,SMALL(IF(Sheet1!$A$2:$A$522000=$A$1,ROW(Sheet1!$B$2:$B$522000)),ROW($A32:$F32))-1,3)</f>
        <v>0</v>
      </c>
      <c r="E34" s="4" cm="1">
        <f t="array" ref="E34">INDEX(Sheet1!$B$2:$F$522000,SMALL(IF(Sheet1!$A$2:$A$522000=$A$1,ROW(Sheet1!$B$2:$B$522000)),ROW($A32:$F32))-1,4)</f>
        <v>0</v>
      </c>
      <c r="F34" s="4" cm="1">
        <f t="array" ref="F34">INDEX(Sheet1!$B$2:$F$522000,SMALL(IF(Sheet1!$A$2:$A$522000=$A$1,ROW(Sheet1!$B$2:$B$522000)),ROW($A32:$F32))-1,5)</f>
        <v>0</v>
      </c>
      <c r="M34" s="9">
        <v>32</v>
      </c>
      <c r="N34" s="10">
        <f t="shared" si="2"/>
        <v>0</v>
      </c>
      <c r="O34" s="11">
        <f t="shared" si="3"/>
        <v>0</v>
      </c>
      <c r="P34" s="12">
        <f t="shared" si="4"/>
        <v>0</v>
      </c>
      <c r="Q34" s="13">
        <f t="shared" si="5"/>
        <v>0</v>
      </c>
      <c r="V34" s="14">
        <f t="shared" si="0"/>
        <v>0.25</v>
      </c>
      <c r="W34" s="10">
        <f t="shared" si="6"/>
        <v>0</v>
      </c>
      <c r="X34" s="11">
        <f t="shared" si="6"/>
        <v>0</v>
      </c>
      <c r="Y34" s="12">
        <f t="shared" si="6"/>
        <v>0</v>
      </c>
      <c r="Z34" s="13">
        <f t="shared" si="6"/>
        <v>0</v>
      </c>
    </row>
    <row r="35" spans="1:26" x14ac:dyDescent="0.25">
      <c r="A35" s="4"/>
      <c r="B35" s="4">
        <v>33</v>
      </c>
      <c r="C35" s="4" cm="1">
        <f t="array" ref="C35">INDEX(Sheet1!$B$2:$F$522000,SMALL(IF(Sheet1!$A$2:$A$522000=$A$1,ROW(Sheet1!$B$2:$B$522000)),ROW($A33:$F33))-1,2)</f>
        <v>0</v>
      </c>
      <c r="D35" s="4" cm="1">
        <f t="array" ref="D35">INDEX(Sheet1!$B$2:$F$522000,SMALL(IF(Sheet1!$A$2:$A$522000=$A$1,ROW(Sheet1!$B$2:$B$522000)),ROW($A33:$F33))-1,3)</f>
        <v>0</v>
      </c>
      <c r="E35" s="4" cm="1">
        <f t="array" ref="E35">INDEX(Sheet1!$B$2:$F$522000,SMALL(IF(Sheet1!$A$2:$A$522000=$A$1,ROW(Sheet1!$B$2:$B$522000)),ROW($A33:$F33))-1,4)</f>
        <v>0</v>
      </c>
      <c r="F35" s="4" cm="1">
        <f t="array" ref="F35">INDEX(Sheet1!$B$2:$F$522000,SMALL(IF(Sheet1!$A$2:$A$522000=$A$1,ROW(Sheet1!$B$2:$B$522000)),ROW($A33:$F33))-1,5)</f>
        <v>0</v>
      </c>
      <c r="M35" s="9">
        <v>33</v>
      </c>
      <c r="N35" s="10">
        <f t="shared" si="2"/>
        <v>0</v>
      </c>
      <c r="O35" s="11">
        <f t="shared" si="3"/>
        <v>0</v>
      </c>
      <c r="P35" s="12">
        <f t="shared" si="4"/>
        <v>0</v>
      </c>
      <c r="Q35" s="13">
        <f t="shared" si="5"/>
        <v>0</v>
      </c>
      <c r="V35" s="14">
        <f t="shared" si="0"/>
        <v>0.2578125</v>
      </c>
      <c r="W35" s="10">
        <f t="shared" si="6"/>
        <v>0</v>
      </c>
      <c r="X35" s="11">
        <f t="shared" si="6"/>
        <v>0</v>
      </c>
      <c r="Y35" s="12">
        <f t="shared" si="6"/>
        <v>0</v>
      </c>
      <c r="Z35" s="13">
        <f t="shared" si="6"/>
        <v>0</v>
      </c>
    </row>
    <row r="36" spans="1:26" x14ac:dyDescent="0.25">
      <c r="A36" s="4"/>
      <c r="B36" s="4">
        <v>34</v>
      </c>
      <c r="C36" s="4" cm="1">
        <f t="array" ref="C36">INDEX(Sheet1!$B$2:$F$522000,SMALL(IF(Sheet1!$A$2:$A$522000=$A$1,ROW(Sheet1!$B$2:$B$522000)),ROW($A34:$F34))-1,2)</f>
        <v>0</v>
      </c>
      <c r="D36" s="4" cm="1">
        <f t="array" ref="D36">INDEX(Sheet1!$B$2:$F$522000,SMALL(IF(Sheet1!$A$2:$A$522000=$A$1,ROW(Sheet1!$B$2:$B$522000)),ROW($A34:$F34))-1,3)</f>
        <v>0</v>
      </c>
      <c r="E36" s="4" cm="1">
        <f t="array" ref="E36">INDEX(Sheet1!$B$2:$F$522000,SMALL(IF(Sheet1!$A$2:$A$522000=$A$1,ROW(Sheet1!$B$2:$B$522000)),ROW($A34:$F34))-1,4)</f>
        <v>0</v>
      </c>
      <c r="F36" s="4" cm="1">
        <f t="array" ref="F36">INDEX(Sheet1!$B$2:$F$522000,SMALL(IF(Sheet1!$A$2:$A$522000=$A$1,ROW(Sheet1!$B$2:$B$522000)),ROW($A34:$F34))-1,5)</f>
        <v>0</v>
      </c>
      <c r="M36" s="9">
        <v>34</v>
      </c>
      <c r="N36" s="10">
        <f t="shared" si="2"/>
        <v>0</v>
      </c>
      <c r="O36" s="11">
        <f t="shared" si="3"/>
        <v>0</v>
      </c>
      <c r="P36" s="12">
        <f t="shared" si="4"/>
        <v>0</v>
      </c>
      <c r="Q36" s="13">
        <f t="shared" si="5"/>
        <v>0</v>
      </c>
      <c r="V36" s="14">
        <f t="shared" si="0"/>
        <v>0.265625</v>
      </c>
      <c r="W36" s="10">
        <f t="shared" si="6"/>
        <v>0</v>
      </c>
      <c r="X36" s="11">
        <f t="shared" si="6"/>
        <v>0</v>
      </c>
      <c r="Y36" s="12">
        <f t="shared" si="6"/>
        <v>0</v>
      </c>
      <c r="Z36" s="13">
        <f t="shared" si="6"/>
        <v>0</v>
      </c>
    </row>
    <row r="37" spans="1:26" x14ac:dyDescent="0.25">
      <c r="A37" s="4"/>
      <c r="B37" s="4">
        <v>35</v>
      </c>
      <c r="C37" s="4" cm="1">
        <f t="array" ref="C37">INDEX(Sheet1!$B$2:$F$522000,SMALL(IF(Sheet1!$A$2:$A$522000=$A$1,ROW(Sheet1!$B$2:$B$522000)),ROW($A35:$F35))-1,2)</f>
        <v>0</v>
      </c>
      <c r="D37" s="4" cm="1">
        <f t="array" ref="D37">INDEX(Sheet1!$B$2:$F$522000,SMALL(IF(Sheet1!$A$2:$A$522000=$A$1,ROW(Sheet1!$B$2:$B$522000)),ROW($A35:$F35))-1,3)</f>
        <v>0</v>
      </c>
      <c r="E37" s="4" cm="1">
        <f t="array" ref="E37">INDEX(Sheet1!$B$2:$F$522000,SMALL(IF(Sheet1!$A$2:$A$522000=$A$1,ROW(Sheet1!$B$2:$B$522000)),ROW($A35:$F35))-1,4)</f>
        <v>0</v>
      </c>
      <c r="F37" s="4" cm="1">
        <f t="array" ref="F37">INDEX(Sheet1!$B$2:$F$522000,SMALL(IF(Sheet1!$A$2:$A$522000=$A$1,ROW(Sheet1!$B$2:$B$522000)),ROW($A35:$F35))-1,5)</f>
        <v>0</v>
      </c>
      <c r="M37" s="9">
        <v>35</v>
      </c>
      <c r="N37" s="10">
        <f t="shared" si="2"/>
        <v>0</v>
      </c>
      <c r="O37" s="11">
        <f t="shared" si="3"/>
        <v>0</v>
      </c>
      <c r="P37" s="12">
        <f t="shared" si="4"/>
        <v>0</v>
      </c>
      <c r="Q37" s="13">
        <f t="shared" si="5"/>
        <v>0</v>
      </c>
      <c r="V37" s="14">
        <f t="shared" si="0"/>
        <v>0.2734375</v>
      </c>
      <c r="W37" s="10">
        <f t="shared" si="6"/>
        <v>0</v>
      </c>
      <c r="X37" s="11">
        <f t="shared" si="6"/>
        <v>0</v>
      </c>
      <c r="Y37" s="12">
        <f t="shared" si="6"/>
        <v>0</v>
      </c>
      <c r="Z37" s="13">
        <f t="shared" si="6"/>
        <v>0</v>
      </c>
    </row>
    <row r="38" spans="1:26" x14ac:dyDescent="0.25">
      <c r="A38" s="4"/>
      <c r="B38" s="4">
        <v>36</v>
      </c>
      <c r="C38" s="4" cm="1">
        <f t="array" ref="C38">INDEX(Sheet1!$B$2:$F$522000,SMALL(IF(Sheet1!$A$2:$A$522000=$A$1,ROW(Sheet1!$B$2:$B$522000)),ROW($A36:$F36))-1,2)</f>
        <v>0</v>
      </c>
      <c r="D38" s="4" cm="1">
        <f t="array" ref="D38">INDEX(Sheet1!$B$2:$F$522000,SMALL(IF(Sheet1!$A$2:$A$522000=$A$1,ROW(Sheet1!$B$2:$B$522000)),ROW($A36:$F36))-1,3)</f>
        <v>0</v>
      </c>
      <c r="E38" s="4" cm="1">
        <f t="array" ref="E38">INDEX(Sheet1!$B$2:$F$522000,SMALL(IF(Sheet1!$A$2:$A$522000=$A$1,ROW(Sheet1!$B$2:$B$522000)),ROW($A36:$F36))-1,4)</f>
        <v>0</v>
      </c>
      <c r="F38" s="4" cm="1">
        <f t="array" ref="F38">INDEX(Sheet1!$B$2:$F$522000,SMALL(IF(Sheet1!$A$2:$A$522000=$A$1,ROW(Sheet1!$B$2:$B$522000)),ROW($A36:$F36))-1,5)</f>
        <v>0</v>
      </c>
      <c r="M38" s="9">
        <v>36</v>
      </c>
      <c r="N38" s="10">
        <f t="shared" si="2"/>
        <v>0</v>
      </c>
      <c r="O38" s="11">
        <f t="shared" si="3"/>
        <v>0</v>
      </c>
      <c r="P38" s="12">
        <f t="shared" si="4"/>
        <v>0</v>
      </c>
      <c r="Q38" s="13">
        <f t="shared" si="5"/>
        <v>0</v>
      </c>
      <c r="V38" s="14">
        <f t="shared" si="0"/>
        <v>0.28125</v>
      </c>
      <c r="W38" s="10">
        <f t="shared" si="6"/>
        <v>0</v>
      </c>
      <c r="X38" s="11">
        <f t="shared" si="6"/>
        <v>0</v>
      </c>
      <c r="Y38" s="12">
        <f t="shared" si="6"/>
        <v>0</v>
      </c>
      <c r="Z38" s="13">
        <f t="shared" si="6"/>
        <v>0</v>
      </c>
    </row>
    <row r="39" spans="1:26" x14ac:dyDescent="0.25">
      <c r="A39" s="4"/>
      <c r="B39" s="4">
        <v>37</v>
      </c>
      <c r="C39" s="4" cm="1">
        <f t="array" ref="C39">INDEX(Sheet1!$B$2:$F$522000,SMALL(IF(Sheet1!$A$2:$A$522000=$A$1,ROW(Sheet1!$B$2:$B$522000)),ROW($A37:$F37))-1,2)</f>
        <v>0</v>
      </c>
      <c r="D39" s="4" cm="1">
        <f t="array" ref="D39">INDEX(Sheet1!$B$2:$F$522000,SMALL(IF(Sheet1!$A$2:$A$522000=$A$1,ROW(Sheet1!$B$2:$B$522000)),ROW($A37:$F37))-1,3)</f>
        <v>0</v>
      </c>
      <c r="E39" s="4" cm="1">
        <f t="array" ref="E39">INDEX(Sheet1!$B$2:$F$522000,SMALL(IF(Sheet1!$A$2:$A$522000=$A$1,ROW(Sheet1!$B$2:$B$522000)),ROW($A37:$F37))-1,4)</f>
        <v>0</v>
      </c>
      <c r="F39" s="4" cm="1">
        <f t="array" ref="F39">INDEX(Sheet1!$B$2:$F$522000,SMALL(IF(Sheet1!$A$2:$A$522000=$A$1,ROW(Sheet1!$B$2:$B$522000)),ROW($A37:$F37))-1,5)</f>
        <v>0</v>
      </c>
      <c r="M39" s="9">
        <v>37</v>
      </c>
      <c r="N39" s="10">
        <f t="shared" si="2"/>
        <v>0</v>
      </c>
      <c r="O39" s="11">
        <f t="shared" si="3"/>
        <v>0</v>
      </c>
      <c r="P39" s="12">
        <f t="shared" si="4"/>
        <v>0</v>
      </c>
      <c r="Q39" s="13">
        <f t="shared" si="5"/>
        <v>0</v>
      </c>
      <c r="V39" s="14">
        <f t="shared" si="0"/>
        <v>0.2890625</v>
      </c>
      <c r="W39" s="10">
        <f t="shared" si="6"/>
        <v>0</v>
      </c>
      <c r="X39" s="11">
        <f t="shared" si="6"/>
        <v>0</v>
      </c>
      <c r="Y39" s="12">
        <f t="shared" si="6"/>
        <v>0</v>
      </c>
      <c r="Z39" s="13">
        <f t="shared" si="6"/>
        <v>0</v>
      </c>
    </row>
    <row r="40" spans="1:26" x14ac:dyDescent="0.25">
      <c r="A40" s="4"/>
      <c r="B40" s="4">
        <v>38</v>
      </c>
      <c r="C40" s="4" cm="1">
        <f t="array" ref="C40">INDEX(Sheet1!$B$2:$F$522000,SMALL(IF(Sheet1!$A$2:$A$522000=$A$1,ROW(Sheet1!$B$2:$B$522000)),ROW($A38:$F38))-1,2)</f>
        <v>0</v>
      </c>
      <c r="D40" s="4" cm="1">
        <f t="array" ref="D40">INDEX(Sheet1!$B$2:$F$522000,SMALL(IF(Sheet1!$A$2:$A$522000=$A$1,ROW(Sheet1!$B$2:$B$522000)),ROW($A38:$F38))-1,3)</f>
        <v>0</v>
      </c>
      <c r="E40" s="4" cm="1">
        <f t="array" ref="E40">INDEX(Sheet1!$B$2:$F$522000,SMALL(IF(Sheet1!$A$2:$A$522000=$A$1,ROW(Sheet1!$B$2:$B$522000)),ROW($A38:$F38))-1,4)</f>
        <v>0</v>
      </c>
      <c r="F40" s="4" cm="1">
        <f t="array" ref="F40">INDEX(Sheet1!$B$2:$F$522000,SMALL(IF(Sheet1!$A$2:$A$522000=$A$1,ROW(Sheet1!$B$2:$B$522000)),ROW($A38:$F38))-1,5)</f>
        <v>0</v>
      </c>
      <c r="M40" s="9">
        <v>38</v>
      </c>
      <c r="N40" s="10">
        <f t="shared" si="2"/>
        <v>0</v>
      </c>
      <c r="O40" s="11">
        <f t="shared" si="3"/>
        <v>0</v>
      </c>
      <c r="P40" s="12">
        <f t="shared" si="4"/>
        <v>0</v>
      </c>
      <c r="Q40" s="13">
        <f t="shared" si="5"/>
        <v>0</v>
      </c>
      <c r="V40" s="14">
        <f t="shared" si="0"/>
        <v>0.296875</v>
      </c>
      <c r="W40" s="10">
        <f t="shared" si="6"/>
        <v>0</v>
      </c>
      <c r="X40" s="11">
        <f t="shared" si="6"/>
        <v>0</v>
      </c>
      <c r="Y40" s="12">
        <f t="shared" si="6"/>
        <v>0</v>
      </c>
      <c r="Z40" s="13">
        <f t="shared" si="6"/>
        <v>0</v>
      </c>
    </row>
    <row r="41" spans="1:26" x14ac:dyDescent="0.25">
      <c r="A41" s="4"/>
      <c r="B41" s="4">
        <v>39</v>
      </c>
      <c r="C41" s="4" cm="1">
        <f t="array" ref="C41">INDEX(Sheet1!$B$2:$F$522000,SMALL(IF(Sheet1!$A$2:$A$522000=$A$1,ROW(Sheet1!$B$2:$B$522000)),ROW($A39:$F39))-1,2)</f>
        <v>0</v>
      </c>
      <c r="D41" s="4" cm="1">
        <f t="array" ref="D41">INDEX(Sheet1!$B$2:$F$522000,SMALL(IF(Sheet1!$A$2:$A$522000=$A$1,ROW(Sheet1!$B$2:$B$522000)),ROW($A39:$F39))-1,3)</f>
        <v>0</v>
      </c>
      <c r="E41" s="4" cm="1">
        <f t="array" ref="E41">INDEX(Sheet1!$B$2:$F$522000,SMALL(IF(Sheet1!$A$2:$A$522000=$A$1,ROW(Sheet1!$B$2:$B$522000)),ROW($A39:$F39))-1,4)</f>
        <v>0</v>
      </c>
      <c r="F41" s="4" cm="1">
        <f t="array" ref="F41">INDEX(Sheet1!$B$2:$F$522000,SMALL(IF(Sheet1!$A$2:$A$522000=$A$1,ROW(Sheet1!$B$2:$B$522000)),ROW($A39:$F39))-1,5)</f>
        <v>0</v>
      </c>
      <c r="M41" s="9">
        <v>39</v>
      </c>
      <c r="N41" s="10">
        <f t="shared" si="2"/>
        <v>0</v>
      </c>
      <c r="O41" s="11">
        <f t="shared" si="3"/>
        <v>0</v>
      </c>
      <c r="P41" s="12">
        <f t="shared" si="4"/>
        <v>0</v>
      </c>
      <c r="Q41" s="13">
        <f t="shared" si="5"/>
        <v>0</v>
      </c>
      <c r="V41" s="14">
        <f t="shared" si="0"/>
        <v>0.3046875</v>
      </c>
      <c r="W41" s="10">
        <f t="shared" si="6"/>
        <v>0</v>
      </c>
      <c r="X41" s="11">
        <f t="shared" si="6"/>
        <v>0</v>
      </c>
      <c r="Y41" s="12">
        <f t="shared" si="6"/>
        <v>0</v>
      </c>
      <c r="Z41" s="13">
        <f t="shared" si="6"/>
        <v>0</v>
      </c>
    </row>
    <row r="42" spans="1:26" x14ac:dyDescent="0.25">
      <c r="A42" s="4"/>
      <c r="B42" s="4">
        <v>40</v>
      </c>
      <c r="C42" s="4" cm="1">
        <f t="array" ref="C42">INDEX(Sheet1!$B$2:$F$522000,SMALL(IF(Sheet1!$A$2:$A$522000=$A$1,ROW(Sheet1!$B$2:$B$522000)),ROW($A40:$F40))-1,2)</f>
        <v>0</v>
      </c>
      <c r="D42" s="4" cm="1">
        <f t="array" ref="D42">INDEX(Sheet1!$B$2:$F$522000,SMALL(IF(Sheet1!$A$2:$A$522000=$A$1,ROW(Sheet1!$B$2:$B$522000)),ROW($A40:$F40))-1,3)</f>
        <v>0</v>
      </c>
      <c r="E42" s="4" cm="1">
        <f t="array" ref="E42">INDEX(Sheet1!$B$2:$F$522000,SMALL(IF(Sheet1!$A$2:$A$522000=$A$1,ROW(Sheet1!$B$2:$B$522000)),ROW($A40:$F40))-1,4)</f>
        <v>0</v>
      </c>
      <c r="F42" s="4" cm="1">
        <f t="array" ref="F42">INDEX(Sheet1!$B$2:$F$522000,SMALL(IF(Sheet1!$A$2:$A$522000=$A$1,ROW(Sheet1!$B$2:$B$522000)),ROW($A40:$F40))-1,5)</f>
        <v>0</v>
      </c>
      <c r="M42" s="9">
        <v>40</v>
      </c>
      <c r="N42" s="10">
        <f t="shared" si="2"/>
        <v>0</v>
      </c>
      <c r="O42" s="11">
        <f t="shared" si="3"/>
        <v>0</v>
      </c>
      <c r="P42" s="12">
        <f t="shared" si="4"/>
        <v>0</v>
      </c>
      <c r="Q42" s="13">
        <f t="shared" si="5"/>
        <v>0</v>
      </c>
      <c r="V42" s="14">
        <f t="shared" si="0"/>
        <v>0.3125</v>
      </c>
      <c r="W42" s="10">
        <f t="shared" si="6"/>
        <v>0</v>
      </c>
      <c r="X42" s="11">
        <f t="shared" si="6"/>
        <v>0</v>
      </c>
      <c r="Y42" s="12">
        <f t="shared" si="6"/>
        <v>0</v>
      </c>
      <c r="Z42" s="13">
        <f t="shared" si="6"/>
        <v>0</v>
      </c>
    </row>
    <row r="43" spans="1:26" x14ac:dyDescent="0.25">
      <c r="A43" s="4"/>
      <c r="B43" s="4">
        <v>41</v>
      </c>
      <c r="C43" s="4" cm="1">
        <f t="array" ref="C43">INDEX(Sheet1!$B$2:$F$522000,SMALL(IF(Sheet1!$A$2:$A$522000=$A$1,ROW(Sheet1!$B$2:$B$522000)),ROW($A41:$F41))-1,2)</f>
        <v>0</v>
      </c>
      <c r="D43" s="4" cm="1">
        <f t="array" ref="D43">INDEX(Sheet1!$B$2:$F$522000,SMALL(IF(Sheet1!$A$2:$A$522000=$A$1,ROW(Sheet1!$B$2:$B$522000)),ROW($A41:$F41))-1,3)</f>
        <v>0</v>
      </c>
      <c r="E43" s="4" cm="1">
        <f t="array" ref="E43">INDEX(Sheet1!$B$2:$F$522000,SMALL(IF(Sheet1!$A$2:$A$522000=$A$1,ROW(Sheet1!$B$2:$B$522000)),ROW($A41:$F41))-1,4)</f>
        <v>0</v>
      </c>
      <c r="F43" s="4" cm="1">
        <f t="array" ref="F43">INDEX(Sheet1!$B$2:$F$522000,SMALL(IF(Sheet1!$A$2:$A$522000=$A$1,ROW(Sheet1!$B$2:$B$522000)),ROW($A41:$F41))-1,5)</f>
        <v>0</v>
      </c>
      <c r="M43" s="9">
        <v>41</v>
      </c>
      <c r="N43" s="10">
        <f t="shared" si="2"/>
        <v>0</v>
      </c>
      <c r="O43" s="11">
        <f t="shared" si="3"/>
        <v>0</v>
      </c>
      <c r="P43" s="12">
        <f t="shared" si="4"/>
        <v>0</v>
      </c>
      <c r="Q43" s="13">
        <f t="shared" si="5"/>
        <v>0</v>
      </c>
      <c r="V43" s="14">
        <f t="shared" si="0"/>
        <v>0.3203125</v>
      </c>
      <c r="W43" s="10">
        <f t="shared" si="6"/>
        <v>0</v>
      </c>
      <c r="X43" s="11">
        <f t="shared" si="6"/>
        <v>0</v>
      </c>
      <c r="Y43" s="12">
        <f t="shared" si="6"/>
        <v>0</v>
      </c>
      <c r="Z43" s="13">
        <f t="shared" si="6"/>
        <v>0</v>
      </c>
    </row>
    <row r="44" spans="1:26" x14ac:dyDescent="0.25">
      <c r="A44" s="4"/>
      <c r="B44" s="4">
        <v>42</v>
      </c>
      <c r="C44" s="4" cm="1">
        <f t="array" ref="C44">INDEX(Sheet1!$B$2:$F$522000,SMALL(IF(Sheet1!$A$2:$A$522000=$A$1,ROW(Sheet1!$B$2:$B$522000)),ROW($A42:$F42))-1,2)</f>
        <v>0</v>
      </c>
      <c r="D44" s="4" cm="1">
        <f t="array" ref="D44">INDEX(Sheet1!$B$2:$F$522000,SMALL(IF(Sheet1!$A$2:$A$522000=$A$1,ROW(Sheet1!$B$2:$B$522000)),ROW($A42:$F42))-1,3)</f>
        <v>0</v>
      </c>
      <c r="E44" s="4" cm="1">
        <f t="array" ref="E44">INDEX(Sheet1!$B$2:$F$522000,SMALL(IF(Sheet1!$A$2:$A$522000=$A$1,ROW(Sheet1!$B$2:$B$522000)),ROW($A42:$F42))-1,4)</f>
        <v>0</v>
      </c>
      <c r="F44" s="4" cm="1">
        <f t="array" ref="F44">INDEX(Sheet1!$B$2:$F$522000,SMALL(IF(Sheet1!$A$2:$A$522000=$A$1,ROW(Sheet1!$B$2:$B$522000)),ROW($A42:$F42))-1,5)</f>
        <v>0</v>
      </c>
      <c r="M44" s="9">
        <v>42</v>
      </c>
      <c r="N44" s="10">
        <f t="shared" si="2"/>
        <v>0</v>
      </c>
      <c r="O44" s="11">
        <f t="shared" si="3"/>
        <v>0</v>
      </c>
      <c r="P44" s="12">
        <f t="shared" si="4"/>
        <v>0</v>
      </c>
      <c r="Q44" s="13">
        <f t="shared" si="5"/>
        <v>0</v>
      </c>
      <c r="V44" s="14">
        <f t="shared" si="0"/>
        <v>0.328125</v>
      </c>
      <c r="W44" s="10">
        <f t="shared" si="6"/>
        <v>0</v>
      </c>
      <c r="X44" s="11">
        <f t="shared" si="6"/>
        <v>0</v>
      </c>
      <c r="Y44" s="12">
        <f t="shared" si="6"/>
        <v>0</v>
      </c>
      <c r="Z44" s="13">
        <f t="shared" si="6"/>
        <v>0</v>
      </c>
    </row>
    <row r="45" spans="1:26" x14ac:dyDescent="0.25">
      <c r="A45" s="4"/>
      <c r="B45" s="4">
        <v>43</v>
      </c>
      <c r="C45" s="4" cm="1">
        <f t="array" ref="C45">INDEX(Sheet1!$B$2:$F$522000,SMALL(IF(Sheet1!$A$2:$A$522000=$A$1,ROW(Sheet1!$B$2:$B$522000)),ROW($A43:$F43))-1,2)</f>
        <v>0</v>
      </c>
      <c r="D45" s="4" cm="1">
        <f t="array" ref="D45">INDEX(Sheet1!$B$2:$F$522000,SMALL(IF(Sheet1!$A$2:$A$522000=$A$1,ROW(Sheet1!$B$2:$B$522000)),ROW($A43:$F43))-1,3)</f>
        <v>0</v>
      </c>
      <c r="E45" s="4" cm="1">
        <f t="array" ref="E45">INDEX(Sheet1!$B$2:$F$522000,SMALL(IF(Sheet1!$A$2:$A$522000=$A$1,ROW(Sheet1!$B$2:$B$522000)),ROW($A43:$F43))-1,4)</f>
        <v>0</v>
      </c>
      <c r="F45" s="4" cm="1">
        <f t="array" ref="F45">INDEX(Sheet1!$B$2:$F$522000,SMALL(IF(Sheet1!$A$2:$A$522000=$A$1,ROW(Sheet1!$B$2:$B$522000)),ROW($A43:$F43))-1,5)</f>
        <v>0</v>
      </c>
      <c r="M45" s="9">
        <v>43</v>
      </c>
      <c r="N45" s="10">
        <f t="shared" si="2"/>
        <v>0</v>
      </c>
      <c r="O45" s="11">
        <f t="shared" si="3"/>
        <v>0</v>
      </c>
      <c r="P45" s="12">
        <f t="shared" si="4"/>
        <v>0</v>
      </c>
      <c r="Q45" s="13">
        <f t="shared" si="5"/>
        <v>0</v>
      </c>
      <c r="V45" s="14">
        <f t="shared" si="0"/>
        <v>0.3359375</v>
      </c>
      <c r="W45" s="10">
        <f t="shared" si="6"/>
        <v>0</v>
      </c>
      <c r="X45" s="11">
        <f t="shared" si="6"/>
        <v>0</v>
      </c>
      <c r="Y45" s="12">
        <f t="shared" si="6"/>
        <v>0</v>
      </c>
      <c r="Z45" s="13">
        <f t="shared" si="6"/>
        <v>0</v>
      </c>
    </row>
    <row r="46" spans="1:26" x14ac:dyDescent="0.25">
      <c r="A46" s="4"/>
      <c r="B46" s="4">
        <v>44</v>
      </c>
      <c r="C46" s="4" cm="1">
        <f t="array" ref="C46">INDEX(Sheet1!$B$2:$F$522000,SMALL(IF(Sheet1!$A$2:$A$522000=$A$1,ROW(Sheet1!$B$2:$B$522000)),ROW($A44:$F44))-1,2)</f>
        <v>0</v>
      </c>
      <c r="D46" s="4" cm="1">
        <f t="array" ref="D46">INDEX(Sheet1!$B$2:$F$522000,SMALL(IF(Sheet1!$A$2:$A$522000=$A$1,ROW(Sheet1!$B$2:$B$522000)),ROW($A44:$F44))-1,3)</f>
        <v>0</v>
      </c>
      <c r="E46" s="4" cm="1">
        <f t="array" ref="E46">INDEX(Sheet1!$B$2:$F$522000,SMALL(IF(Sheet1!$A$2:$A$522000=$A$1,ROW(Sheet1!$B$2:$B$522000)),ROW($A44:$F44))-1,4)</f>
        <v>0</v>
      </c>
      <c r="F46" s="4" cm="1">
        <f t="array" ref="F46">INDEX(Sheet1!$B$2:$F$522000,SMALL(IF(Sheet1!$A$2:$A$522000=$A$1,ROW(Sheet1!$B$2:$B$522000)),ROW($A44:$F44))-1,5)</f>
        <v>0</v>
      </c>
      <c r="M46" s="9">
        <v>44</v>
      </c>
      <c r="N46" s="10">
        <f t="shared" si="2"/>
        <v>0</v>
      </c>
      <c r="O46" s="11">
        <f t="shared" si="3"/>
        <v>0</v>
      </c>
      <c r="P46" s="12">
        <f t="shared" si="4"/>
        <v>0</v>
      </c>
      <c r="Q46" s="13">
        <f t="shared" si="5"/>
        <v>0</v>
      </c>
      <c r="V46" s="14">
        <f t="shared" si="0"/>
        <v>0.34375</v>
      </c>
      <c r="W46" s="10">
        <f t="shared" si="6"/>
        <v>0</v>
      </c>
      <c r="X46" s="11">
        <f t="shared" si="6"/>
        <v>0</v>
      </c>
      <c r="Y46" s="12">
        <f t="shared" si="6"/>
        <v>0</v>
      </c>
      <c r="Z46" s="13">
        <f t="shared" si="6"/>
        <v>0</v>
      </c>
    </row>
    <row r="47" spans="1:26" x14ac:dyDescent="0.25">
      <c r="A47" s="4"/>
      <c r="B47" s="4">
        <v>45</v>
      </c>
      <c r="C47" s="4" cm="1">
        <f t="array" ref="C47">INDEX(Sheet1!$B$2:$F$522000,SMALL(IF(Sheet1!$A$2:$A$522000=$A$1,ROW(Sheet1!$B$2:$B$522000)),ROW($A45:$F45))-1,2)</f>
        <v>0</v>
      </c>
      <c r="D47" s="4" cm="1">
        <f t="array" ref="D47">INDEX(Sheet1!$B$2:$F$522000,SMALL(IF(Sheet1!$A$2:$A$522000=$A$1,ROW(Sheet1!$B$2:$B$522000)),ROW($A45:$F45))-1,3)</f>
        <v>0</v>
      </c>
      <c r="E47" s="4" cm="1">
        <f t="array" ref="E47">INDEX(Sheet1!$B$2:$F$522000,SMALL(IF(Sheet1!$A$2:$A$522000=$A$1,ROW(Sheet1!$B$2:$B$522000)),ROW($A45:$F45))-1,4)</f>
        <v>0</v>
      </c>
      <c r="F47" s="4" cm="1">
        <f t="array" ref="F47">INDEX(Sheet1!$B$2:$F$522000,SMALL(IF(Sheet1!$A$2:$A$522000=$A$1,ROW(Sheet1!$B$2:$B$522000)),ROW($A45:$F45))-1,5)</f>
        <v>0</v>
      </c>
      <c r="M47" s="9">
        <v>45</v>
      </c>
      <c r="N47" s="10">
        <f t="shared" si="2"/>
        <v>0</v>
      </c>
      <c r="O47" s="11">
        <f t="shared" si="3"/>
        <v>0</v>
      </c>
      <c r="P47" s="12">
        <f t="shared" si="4"/>
        <v>0</v>
      </c>
      <c r="Q47" s="13">
        <f t="shared" si="5"/>
        <v>0</v>
      </c>
      <c r="V47" s="14">
        <f t="shared" si="0"/>
        <v>0.3515625</v>
      </c>
      <c r="W47" s="10">
        <f t="shared" si="6"/>
        <v>0</v>
      </c>
      <c r="X47" s="11">
        <f t="shared" si="6"/>
        <v>0</v>
      </c>
      <c r="Y47" s="12">
        <f t="shared" si="6"/>
        <v>0</v>
      </c>
      <c r="Z47" s="13">
        <f t="shared" si="6"/>
        <v>0</v>
      </c>
    </row>
    <row r="48" spans="1:26" x14ac:dyDescent="0.25">
      <c r="A48" s="4"/>
      <c r="B48" s="4">
        <v>46</v>
      </c>
      <c r="C48" s="4" cm="1">
        <f t="array" ref="C48">INDEX(Sheet1!$B$2:$F$522000,SMALL(IF(Sheet1!$A$2:$A$522000=$A$1,ROW(Sheet1!$B$2:$B$522000)),ROW($A46:$F46))-1,2)</f>
        <v>0</v>
      </c>
      <c r="D48" s="4" cm="1">
        <f t="array" ref="D48">INDEX(Sheet1!$B$2:$F$522000,SMALL(IF(Sheet1!$A$2:$A$522000=$A$1,ROW(Sheet1!$B$2:$B$522000)),ROW($A46:$F46))-1,3)</f>
        <v>0</v>
      </c>
      <c r="E48" s="4" cm="1">
        <f t="array" ref="E48">INDEX(Sheet1!$B$2:$F$522000,SMALL(IF(Sheet1!$A$2:$A$522000=$A$1,ROW(Sheet1!$B$2:$B$522000)),ROW($A46:$F46))-1,4)</f>
        <v>0</v>
      </c>
      <c r="F48" s="4" cm="1">
        <f t="array" ref="F48">INDEX(Sheet1!$B$2:$F$522000,SMALL(IF(Sheet1!$A$2:$A$522000=$A$1,ROW(Sheet1!$B$2:$B$522000)),ROW($A46:$F46))-1,5)</f>
        <v>0</v>
      </c>
      <c r="M48" s="9">
        <v>46</v>
      </c>
      <c r="N48" s="10">
        <f t="shared" si="2"/>
        <v>0</v>
      </c>
      <c r="O48" s="11">
        <f t="shared" si="3"/>
        <v>0</v>
      </c>
      <c r="P48" s="12">
        <f t="shared" si="4"/>
        <v>0</v>
      </c>
      <c r="Q48" s="13">
        <f t="shared" si="5"/>
        <v>0</v>
      </c>
      <c r="V48" s="14">
        <f t="shared" si="0"/>
        <v>0.359375</v>
      </c>
      <c r="W48" s="10">
        <f t="shared" si="6"/>
        <v>0</v>
      </c>
      <c r="X48" s="11">
        <f t="shared" si="6"/>
        <v>0</v>
      </c>
      <c r="Y48" s="12">
        <f t="shared" si="6"/>
        <v>0</v>
      </c>
      <c r="Z48" s="13">
        <f t="shared" si="6"/>
        <v>0</v>
      </c>
    </row>
    <row r="49" spans="1:26" x14ac:dyDescent="0.25">
      <c r="A49" s="4"/>
      <c r="B49" s="4">
        <v>47</v>
      </c>
      <c r="C49" s="4" cm="1">
        <f t="array" ref="C49">INDEX(Sheet1!$B$2:$F$522000,SMALL(IF(Sheet1!$A$2:$A$522000=$A$1,ROW(Sheet1!$B$2:$B$522000)),ROW($A47:$F47))-1,2)</f>
        <v>0</v>
      </c>
      <c r="D49" s="4" cm="1">
        <f t="array" ref="D49">INDEX(Sheet1!$B$2:$F$522000,SMALL(IF(Sheet1!$A$2:$A$522000=$A$1,ROW(Sheet1!$B$2:$B$522000)),ROW($A47:$F47))-1,3)</f>
        <v>0</v>
      </c>
      <c r="E49" s="4" cm="1">
        <f t="array" ref="E49">INDEX(Sheet1!$B$2:$F$522000,SMALL(IF(Sheet1!$A$2:$A$522000=$A$1,ROW(Sheet1!$B$2:$B$522000)),ROW($A47:$F47))-1,4)</f>
        <v>0</v>
      </c>
      <c r="F49" s="4" cm="1">
        <f t="array" ref="F49">INDEX(Sheet1!$B$2:$F$522000,SMALL(IF(Sheet1!$A$2:$A$522000=$A$1,ROW(Sheet1!$B$2:$B$522000)),ROW($A47:$F47))-1,5)</f>
        <v>0</v>
      </c>
      <c r="M49" s="9">
        <v>47</v>
      </c>
      <c r="N49" s="10">
        <f t="shared" si="2"/>
        <v>0</v>
      </c>
      <c r="O49" s="11">
        <f t="shared" si="3"/>
        <v>0</v>
      </c>
      <c r="P49" s="12">
        <f t="shared" si="4"/>
        <v>0</v>
      </c>
      <c r="Q49" s="13">
        <f t="shared" si="5"/>
        <v>0</v>
      </c>
      <c r="V49" s="14">
        <f t="shared" si="0"/>
        <v>0.3671875</v>
      </c>
      <c r="W49" s="10">
        <f t="shared" si="6"/>
        <v>0</v>
      </c>
      <c r="X49" s="11">
        <f t="shared" si="6"/>
        <v>0</v>
      </c>
      <c r="Y49" s="12">
        <f t="shared" si="6"/>
        <v>0</v>
      </c>
      <c r="Z49" s="13">
        <f t="shared" si="6"/>
        <v>0</v>
      </c>
    </row>
    <row r="50" spans="1:26" x14ac:dyDescent="0.25">
      <c r="A50" s="4"/>
      <c r="B50" s="4">
        <v>48</v>
      </c>
      <c r="C50" s="4" cm="1">
        <f t="array" ref="C50">INDEX(Sheet1!$B$2:$F$522000,SMALL(IF(Sheet1!$A$2:$A$522000=$A$1,ROW(Sheet1!$B$2:$B$522000)),ROW($A48:$F48))-1,2)</f>
        <v>0</v>
      </c>
      <c r="D50" s="4" cm="1">
        <f t="array" ref="D50">INDEX(Sheet1!$B$2:$F$522000,SMALL(IF(Sheet1!$A$2:$A$522000=$A$1,ROW(Sheet1!$B$2:$B$522000)),ROW($A48:$F48))-1,3)</f>
        <v>0</v>
      </c>
      <c r="E50" s="4" cm="1">
        <f t="array" ref="E50">INDEX(Sheet1!$B$2:$F$522000,SMALL(IF(Sheet1!$A$2:$A$522000=$A$1,ROW(Sheet1!$B$2:$B$522000)),ROW($A48:$F48))-1,4)</f>
        <v>0</v>
      </c>
      <c r="F50" s="4" cm="1">
        <f t="array" ref="F50">INDEX(Sheet1!$B$2:$F$522000,SMALL(IF(Sheet1!$A$2:$A$522000=$A$1,ROW(Sheet1!$B$2:$B$522000)),ROW($A48:$F48))-1,5)</f>
        <v>0</v>
      </c>
      <c r="M50" s="9">
        <v>48</v>
      </c>
      <c r="N50" s="10">
        <f t="shared" si="2"/>
        <v>0</v>
      </c>
      <c r="O50" s="11">
        <f t="shared" si="3"/>
        <v>0</v>
      </c>
      <c r="P50" s="12">
        <f t="shared" si="4"/>
        <v>0</v>
      </c>
      <c r="Q50" s="13">
        <f t="shared" si="5"/>
        <v>0</v>
      </c>
      <c r="V50" s="14">
        <f t="shared" si="0"/>
        <v>0.375</v>
      </c>
      <c r="W50" s="10">
        <f t="shared" si="6"/>
        <v>0</v>
      </c>
      <c r="X50" s="11">
        <f t="shared" si="6"/>
        <v>0</v>
      </c>
      <c r="Y50" s="12">
        <f t="shared" si="6"/>
        <v>0</v>
      </c>
      <c r="Z50" s="13">
        <f t="shared" si="6"/>
        <v>0</v>
      </c>
    </row>
    <row r="51" spans="1:26" x14ac:dyDescent="0.25">
      <c r="A51" s="4"/>
      <c r="B51" s="4">
        <v>49</v>
      </c>
      <c r="C51" s="4" cm="1">
        <f t="array" ref="C51">INDEX(Sheet1!$B$2:$F$522000,SMALL(IF(Sheet1!$A$2:$A$522000=$A$1,ROW(Sheet1!$B$2:$B$522000)),ROW($A49:$F49))-1,2)</f>
        <v>0</v>
      </c>
      <c r="D51" s="4" cm="1">
        <f t="array" ref="D51">INDEX(Sheet1!$B$2:$F$522000,SMALL(IF(Sheet1!$A$2:$A$522000=$A$1,ROW(Sheet1!$B$2:$B$522000)),ROW($A49:$F49))-1,3)</f>
        <v>0</v>
      </c>
      <c r="E51" s="4" cm="1">
        <f t="array" ref="E51">INDEX(Sheet1!$B$2:$F$522000,SMALL(IF(Sheet1!$A$2:$A$522000=$A$1,ROW(Sheet1!$B$2:$B$522000)),ROW($A49:$F49))-1,4)</f>
        <v>0</v>
      </c>
      <c r="F51" s="4" cm="1">
        <f t="array" ref="F51">INDEX(Sheet1!$B$2:$F$522000,SMALL(IF(Sheet1!$A$2:$A$522000=$A$1,ROW(Sheet1!$B$2:$B$522000)),ROW($A49:$F49))-1,5)</f>
        <v>0</v>
      </c>
      <c r="M51" s="9">
        <v>49</v>
      </c>
      <c r="N51" s="10">
        <f t="shared" si="2"/>
        <v>0</v>
      </c>
      <c r="O51" s="11">
        <f t="shared" si="3"/>
        <v>0</v>
      </c>
      <c r="P51" s="12">
        <f t="shared" si="4"/>
        <v>0</v>
      </c>
      <c r="Q51" s="13">
        <f t="shared" si="5"/>
        <v>0</v>
      </c>
      <c r="V51" s="14">
        <f t="shared" si="0"/>
        <v>0.3828125</v>
      </c>
      <c r="W51" s="10">
        <f t="shared" si="6"/>
        <v>0</v>
      </c>
      <c r="X51" s="11">
        <f t="shared" si="6"/>
        <v>0</v>
      </c>
      <c r="Y51" s="12">
        <f t="shared" si="6"/>
        <v>0</v>
      </c>
      <c r="Z51" s="13">
        <f t="shared" si="6"/>
        <v>0</v>
      </c>
    </row>
    <row r="52" spans="1:26" x14ac:dyDescent="0.25">
      <c r="A52" s="4"/>
      <c r="B52" s="4">
        <v>50</v>
      </c>
      <c r="C52" s="4" cm="1">
        <f t="array" ref="C52">INDEX(Sheet1!$B$2:$F$522000,SMALL(IF(Sheet1!$A$2:$A$522000=$A$1,ROW(Sheet1!$B$2:$B$522000)),ROW($A50:$F50))-1,2)</f>
        <v>0</v>
      </c>
      <c r="D52" s="4" cm="1">
        <f t="array" ref="D52">INDEX(Sheet1!$B$2:$F$522000,SMALL(IF(Sheet1!$A$2:$A$522000=$A$1,ROW(Sheet1!$B$2:$B$522000)),ROW($A50:$F50))-1,3)</f>
        <v>0</v>
      </c>
      <c r="E52" s="4" cm="1">
        <f t="array" ref="E52">INDEX(Sheet1!$B$2:$F$522000,SMALL(IF(Sheet1!$A$2:$A$522000=$A$1,ROW(Sheet1!$B$2:$B$522000)),ROW($A50:$F50))-1,4)</f>
        <v>0</v>
      </c>
      <c r="F52" s="4" cm="1">
        <f t="array" ref="F52">INDEX(Sheet1!$B$2:$F$522000,SMALL(IF(Sheet1!$A$2:$A$522000=$A$1,ROW(Sheet1!$B$2:$B$522000)),ROW($A50:$F50))-1,5)</f>
        <v>0</v>
      </c>
      <c r="M52" s="9">
        <v>50</v>
      </c>
      <c r="N52" s="10">
        <f t="shared" si="2"/>
        <v>0</v>
      </c>
      <c r="O52" s="11">
        <f t="shared" si="3"/>
        <v>0</v>
      </c>
      <c r="P52" s="12">
        <f t="shared" si="4"/>
        <v>0</v>
      </c>
      <c r="Q52" s="13">
        <f t="shared" si="5"/>
        <v>0</v>
      </c>
      <c r="V52" s="14">
        <f t="shared" si="0"/>
        <v>0.390625</v>
      </c>
      <c r="W52" s="10">
        <f t="shared" si="6"/>
        <v>0</v>
      </c>
      <c r="X52" s="11">
        <f t="shared" si="6"/>
        <v>0</v>
      </c>
      <c r="Y52" s="12">
        <f t="shared" si="6"/>
        <v>0</v>
      </c>
      <c r="Z52" s="13">
        <f t="shared" si="6"/>
        <v>0</v>
      </c>
    </row>
    <row r="53" spans="1:26" x14ac:dyDescent="0.25">
      <c r="A53" s="4"/>
      <c r="B53" s="4">
        <v>51</v>
      </c>
      <c r="C53" s="4" cm="1">
        <f t="array" ref="C53">INDEX(Sheet1!$B$2:$F$522000,SMALL(IF(Sheet1!$A$2:$A$522000=$A$1,ROW(Sheet1!$B$2:$B$522000)),ROW($A51:$F51))-1,2)</f>
        <v>0</v>
      </c>
      <c r="D53" s="4" cm="1">
        <f t="array" ref="D53">INDEX(Sheet1!$B$2:$F$522000,SMALL(IF(Sheet1!$A$2:$A$522000=$A$1,ROW(Sheet1!$B$2:$B$522000)),ROW($A51:$F51))-1,3)</f>
        <v>0</v>
      </c>
      <c r="E53" s="4" cm="1">
        <f t="array" ref="E53">INDEX(Sheet1!$B$2:$F$522000,SMALL(IF(Sheet1!$A$2:$A$522000=$A$1,ROW(Sheet1!$B$2:$B$522000)),ROW($A51:$F51))-1,4)</f>
        <v>0</v>
      </c>
      <c r="F53" s="4" cm="1">
        <f t="array" ref="F53">INDEX(Sheet1!$B$2:$F$522000,SMALL(IF(Sheet1!$A$2:$A$522000=$A$1,ROW(Sheet1!$B$2:$B$522000)),ROW($A51:$F51))-1,5)</f>
        <v>0</v>
      </c>
      <c r="M53" s="9">
        <v>51</v>
      </c>
      <c r="N53" s="10">
        <f t="shared" si="2"/>
        <v>0</v>
      </c>
      <c r="O53" s="11">
        <f t="shared" si="3"/>
        <v>0</v>
      </c>
      <c r="P53" s="12">
        <f t="shared" si="4"/>
        <v>0</v>
      </c>
      <c r="Q53" s="13">
        <f t="shared" si="5"/>
        <v>0</v>
      </c>
      <c r="V53" s="14">
        <f t="shared" si="0"/>
        <v>0.3984375</v>
      </c>
      <c r="W53" s="10">
        <f t="shared" si="6"/>
        <v>0</v>
      </c>
      <c r="X53" s="11">
        <f t="shared" si="6"/>
        <v>0</v>
      </c>
      <c r="Y53" s="12">
        <f t="shared" si="6"/>
        <v>0</v>
      </c>
      <c r="Z53" s="13">
        <f t="shared" si="6"/>
        <v>0</v>
      </c>
    </row>
    <row r="54" spans="1:26" x14ac:dyDescent="0.25">
      <c r="A54" s="4"/>
      <c r="B54" s="4">
        <v>52</v>
      </c>
      <c r="C54" s="4" cm="1">
        <f t="array" ref="C54">INDEX(Sheet1!$B$2:$F$522000,SMALL(IF(Sheet1!$A$2:$A$522000=$A$1,ROW(Sheet1!$B$2:$B$522000)),ROW($A52:$F52))-1,2)</f>
        <v>0</v>
      </c>
      <c r="D54" s="4" cm="1">
        <f t="array" ref="D54">INDEX(Sheet1!$B$2:$F$522000,SMALL(IF(Sheet1!$A$2:$A$522000=$A$1,ROW(Sheet1!$B$2:$B$522000)),ROW($A52:$F52))-1,3)</f>
        <v>0</v>
      </c>
      <c r="E54" s="4" cm="1">
        <f t="array" ref="E54">INDEX(Sheet1!$B$2:$F$522000,SMALL(IF(Sheet1!$A$2:$A$522000=$A$1,ROW(Sheet1!$B$2:$B$522000)),ROW($A52:$F52))-1,4)</f>
        <v>0</v>
      </c>
      <c r="F54" s="4" cm="1">
        <f t="array" ref="F54">INDEX(Sheet1!$B$2:$F$522000,SMALL(IF(Sheet1!$A$2:$A$522000=$A$1,ROW(Sheet1!$B$2:$B$522000)),ROW($A52:$F52))-1,5)</f>
        <v>0</v>
      </c>
      <c r="M54" s="9">
        <v>52</v>
      </c>
      <c r="N54" s="10">
        <f t="shared" si="2"/>
        <v>0</v>
      </c>
      <c r="O54" s="11">
        <f t="shared" si="3"/>
        <v>0</v>
      </c>
      <c r="P54" s="12">
        <f t="shared" si="4"/>
        <v>0</v>
      </c>
      <c r="Q54" s="13">
        <f t="shared" si="5"/>
        <v>0</v>
      </c>
      <c r="V54" s="14">
        <f t="shared" si="0"/>
        <v>0.40625</v>
      </c>
      <c r="W54" s="10">
        <f t="shared" si="6"/>
        <v>0</v>
      </c>
      <c r="X54" s="11">
        <f t="shared" si="6"/>
        <v>0</v>
      </c>
      <c r="Y54" s="12">
        <f t="shared" si="6"/>
        <v>0</v>
      </c>
      <c r="Z54" s="13">
        <f t="shared" si="6"/>
        <v>0</v>
      </c>
    </row>
    <row r="55" spans="1:26" x14ac:dyDescent="0.25">
      <c r="A55" s="4"/>
      <c r="B55" s="4">
        <v>53</v>
      </c>
      <c r="C55" s="4" cm="1">
        <f t="array" ref="C55">INDEX(Sheet1!$B$2:$F$522000,SMALL(IF(Sheet1!$A$2:$A$522000=$A$1,ROW(Sheet1!$B$2:$B$522000)),ROW($A53:$F53))-1,2)</f>
        <v>0</v>
      </c>
      <c r="D55" s="4" cm="1">
        <f t="array" ref="D55">INDEX(Sheet1!$B$2:$F$522000,SMALL(IF(Sheet1!$A$2:$A$522000=$A$1,ROW(Sheet1!$B$2:$B$522000)),ROW($A53:$F53))-1,3)</f>
        <v>0</v>
      </c>
      <c r="E55" s="4" cm="1">
        <f t="array" ref="E55">INDEX(Sheet1!$B$2:$F$522000,SMALL(IF(Sheet1!$A$2:$A$522000=$A$1,ROW(Sheet1!$B$2:$B$522000)),ROW($A53:$F53))-1,4)</f>
        <v>0</v>
      </c>
      <c r="F55" s="4" cm="1">
        <f t="array" ref="F55">INDEX(Sheet1!$B$2:$F$522000,SMALL(IF(Sheet1!$A$2:$A$522000=$A$1,ROW(Sheet1!$B$2:$B$522000)),ROW($A53:$F53))-1,5)</f>
        <v>0</v>
      </c>
      <c r="M55" s="9">
        <v>53</v>
      </c>
      <c r="N55" s="10">
        <f t="shared" si="2"/>
        <v>0</v>
      </c>
      <c r="O55" s="11">
        <f t="shared" si="3"/>
        <v>0</v>
      </c>
      <c r="P55" s="12">
        <f t="shared" si="4"/>
        <v>0</v>
      </c>
      <c r="Q55" s="13">
        <f t="shared" si="5"/>
        <v>0</v>
      </c>
      <c r="V55" s="14">
        <f t="shared" si="0"/>
        <v>0.4140625</v>
      </c>
      <c r="W55" s="10">
        <f t="shared" si="6"/>
        <v>0</v>
      </c>
      <c r="X55" s="11">
        <f t="shared" si="6"/>
        <v>0</v>
      </c>
      <c r="Y55" s="12">
        <f t="shared" si="6"/>
        <v>0</v>
      </c>
      <c r="Z55" s="13">
        <f t="shared" si="6"/>
        <v>0</v>
      </c>
    </row>
    <row r="56" spans="1:26" x14ac:dyDescent="0.25">
      <c r="A56" s="4"/>
      <c r="B56" s="4">
        <v>54</v>
      </c>
      <c r="C56" s="4" cm="1">
        <f t="array" ref="C56">INDEX(Sheet1!$B$2:$F$522000,SMALL(IF(Sheet1!$A$2:$A$522000=$A$1,ROW(Sheet1!$B$2:$B$522000)),ROW($A54:$F54))-1,2)</f>
        <v>0</v>
      </c>
      <c r="D56" s="4" cm="1">
        <f t="array" ref="D56">INDEX(Sheet1!$B$2:$F$522000,SMALL(IF(Sheet1!$A$2:$A$522000=$A$1,ROW(Sheet1!$B$2:$B$522000)),ROW($A54:$F54))-1,3)</f>
        <v>0</v>
      </c>
      <c r="E56" s="4" cm="1">
        <f t="array" ref="E56">INDEX(Sheet1!$B$2:$F$522000,SMALL(IF(Sheet1!$A$2:$A$522000=$A$1,ROW(Sheet1!$B$2:$B$522000)),ROW($A54:$F54))-1,4)</f>
        <v>0</v>
      </c>
      <c r="F56" s="4" cm="1">
        <f t="array" ref="F56">INDEX(Sheet1!$B$2:$F$522000,SMALL(IF(Sheet1!$A$2:$A$522000=$A$1,ROW(Sheet1!$B$2:$B$522000)),ROW($A54:$F54))-1,5)</f>
        <v>0</v>
      </c>
      <c r="M56" s="9">
        <v>54</v>
      </c>
      <c r="N56" s="10">
        <f t="shared" si="2"/>
        <v>0</v>
      </c>
      <c r="O56" s="11">
        <f t="shared" si="3"/>
        <v>0</v>
      </c>
      <c r="P56" s="12">
        <f t="shared" si="4"/>
        <v>0</v>
      </c>
      <c r="Q56" s="13">
        <f t="shared" si="5"/>
        <v>0</v>
      </c>
      <c r="V56" s="14">
        <f t="shared" si="0"/>
        <v>0.421875</v>
      </c>
      <c r="W56" s="10">
        <f t="shared" si="6"/>
        <v>0</v>
      </c>
      <c r="X56" s="11">
        <f t="shared" si="6"/>
        <v>0</v>
      </c>
      <c r="Y56" s="12">
        <f t="shared" si="6"/>
        <v>0</v>
      </c>
      <c r="Z56" s="13">
        <f t="shared" si="6"/>
        <v>0</v>
      </c>
    </row>
    <row r="57" spans="1:26" x14ac:dyDescent="0.25">
      <c r="A57" s="4"/>
      <c r="B57" s="4">
        <v>55</v>
      </c>
      <c r="C57" s="4" cm="1">
        <f t="array" ref="C57">INDEX(Sheet1!$B$2:$F$522000,SMALL(IF(Sheet1!$A$2:$A$522000=$A$1,ROW(Sheet1!$B$2:$B$522000)),ROW($A55:$F55))-1,2)</f>
        <v>0</v>
      </c>
      <c r="D57" s="4" cm="1">
        <f t="array" ref="D57">INDEX(Sheet1!$B$2:$F$522000,SMALL(IF(Sheet1!$A$2:$A$522000=$A$1,ROW(Sheet1!$B$2:$B$522000)),ROW($A55:$F55))-1,3)</f>
        <v>0</v>
      </c>
      <c r="E57" s="4" cm="1">
        <f t="array" ref="E57">INDEX(Sheet1!$B$2:$F$522000,SMALL(IF(Sheet1!$A$2:$A$522000=$A$1,ROW(Sheet1!$B$2:$B$522000)),ROW($A55:$F55))-1,4)</f>
        <v>0</v>
      </c>
      <c r="F57" s="4" cm="1">
        <f t="array" ref="F57">INDEX(Sheet1!$B$2:$F$522000,SMALL(IF(Sheet1!$A$2:$A$522000=$A$1,ROW(Sheet1!$B$2:$B$522000)),ROW($A55:$F55))-1,5)</f>
        <v>0</v>
      </c>
      <c r="M57" s="9">
        <v>55</v>
      </c>
      <c r="N57" s="10">
        <f t="shared" si="2"/>
        <v>0</v>
      </c>
      <c r="O57" s="11">
        <f t="shared" si="3"/>
        <v>0</v>
      </c>
      <c r="P57" s="12">
        <f t="shared" si="4"/>
        <v>0</v>
      </c>
      <c r="Q57" s="13">
        <f t="shared" si="5"/>
        <v>0</v>
      </c>
      <c r="V57" s="14">
        <f t="shared" si="0"/>
        <v>0.4296875</v>
      </c>
      <c r="W57" s="10">
        <f t="shared" si="6"/>
        <v>0</v>
      </c>
      <c r="X57" s="11">
        <f t="shared" si="6"/>
        <v>0</v>
      </c>
      <c r="Y57" s="12">
        <f t="shared" si="6"/>
        <v>0</v>
      </c>
      <c r="Z57" s="13">
        <f t="shared" si="6"/>
        <v>0</v>
      </c>
    </row>
    <row r="58" spans="1:26" x14ac:dyDescent="0.25">
      <c r="A58" s="4"/>
      <c r="B58" s="4">
        <v>56</v>
      </c>
      <c r="C58" s="4" cm="1">
        <f t="array" ref="C58">INDEX(Sheet1!$B$2:$F$522000,SMALL(IF(Sheet1!$A$2:$A$522000=$A$1,ROW(Sheet1!$B$2:$B$522000)),ROW($A56:$F56))-1,2)</f>
        <v>0</v>
      </c>
      <c r="D58" s="4" cm="1">
        <f t="array" ref="D58">INDEX(Sheet1!$B$2:$F$522000,SMALL(IF(Sheet1!$A$2:$A$522000=$A$1,ROW(Sheet1!$B$2:$B$522000)),ROW($A56:$F56))-1,3)</f>
        <v>0</v>
      </c>
      <c r="E58" s="4" cm="1">
        <f t="array" ref="E58">INDEX(Sheet1!$B$2:$F$522000,SMALL(IF(Sheet1!$A$2:$A$522000=$A$1,ROW(Sheet1!$B$2:$B$522000)),ROW($A56:$F56))-1,4)</f>
        <v>0</v>
      </c>
      <c r="F58" s="4" cm="1">
        <f t="array" ref="F58">INDEX(Sheet1!$B$2:$F$522000,SMALL(IF(Sheet1!$A$2:$A$522000=$A$1,ROW(Sheet1!$B$2:$B$522000)),ROW($A56:$F56))-1,5)</f>
        <v>0</v>
      </c>
      <c r="M58" s="9">
        <v>56</v>
      </c>
      <c r="N58" s="10">
        <f t="shared" si="2"/>
        <v>0</v>
      </c>
      <c r="O58" s="11">
        <f t="shared" si="3"/>
        <v>0</v>
      </c>
      <c r="P58" s="12">
        <f t="shared" si="4"/>
        <v>0</v>
      </c>
      <c r="Q58" s="13">
        <f t="shared" si="5"/>
        <v>0</v>
      </c>
      <c r="V58" s="14">
        <f t="shared" si="0"/>
        <v>0.4375</v>
      </c>
      <c r="W58" s="10">
        <f t="shared" si="6"/>
        <v>0</v>
      </c>
      <c r="X58" s="11">
        <f t="shared" si="6"/>
        <v>0</v>
      </c>
      <c r="Y58" s="12">
        <f t="shared" si="6"/>
        <v>0</v>
      </c>
      <c r="Z58" s="13">
        <f t="shared" si="6"/>
        <v>0</v>
      </c>
    </row>
    <row r="59" spans="1:26" x14ac:dyDescent="0.25">
      <c r="A59" s="4"/>
      <c r="B59" s="4">
        <v>57</v>
      </c>
      <c r="C59" s="4" cm="1">
        <f t="array" ref="C59">INDEX(Sheet1!$B$2:$F$522000,SMALL(IF(Sheet1!$A$2:$A$522000=$A$1,ROW(Sheet1!$B$2:$B$522000)),ROW($A57:$F57))-1,2)</f>
        <v>0</v>
      </c>
      <c r="D59" s="4" cm="1">
        <f t="array" ref="D59">INDEX(Sheet1!$B$2:$F$522000,SMALL(IF(Sheet1!$A$2:$A$522000=$A$1,ROW(Sheet1!$B$2:$B$522000)),ROW($A57:$F57))-1,3)</f>
        <v>0</v>
      </c>
      <c r="E59" s="4" cm="1">
        <f t="array" ref="E59">INDEX(Sheet1!$B$2:$F$522000,SMALL(IF(Sheet1!$A$2:$A$522000=$A$1,ROW(Sheet1!$B$2:$B$522000)),ROW($A57:$F57))-1,4)</f>
        <v>0</v>
      </c>
      <c r="F59" s="4" cm="1">
        <f t="array" ref="F59">INDEX(Sheet1!$B$2:$F$522000,SMALL(IF(Sheet1!$A$2:$A$522000=$A$1,ROW(Sheet1!$B$2:$B$522000)),ROW($A57:$F57))-1,5)</f>
        <v>0</v>
      </c>
      <c r="M59" s="9">
        <v>57</v>
      </c>
      <c r="N59" s="10">
        <f t="shared" si="2"/>
        <v>0</v>
      </c>
      <c r="O59" s="11">
        <f t="shared" si="3"/>
        <v>0</v>
      </c>
      <c r="P59" s="12">
        <f t="shared" si="4"/>
        <v>0</v>
      </c>
      <c r="Q59" s="13">
        <f t="shared" si="5"/>
        <v>0</v>
      </c>
      <c r="V59" s="14">
        <f t="shared" si="0"/>
        <v>0.4453125</v>
      </c>
      <c r="W59" s="10">
        <f t="shared" si="6"/>
        <v>0</v>
      </c>
      <c r="X59" s="11">
        <f t="shared" si="6"/>
        <v>0</v>
      </c>
      <c r="Y59" s="12">
        <f t="shared" si="6"/>
        <v>0</v>
      </c>
      <c r="Z59" s="13">
        <f t="shared" si="6"/>
        <v>0</v>
      </c>
    </row>
    <row r="60" spans="1:26" x14ac:dyDescent="0.25">
      <c r="A60" s="4"/>
      <c r="B60" s="4">
        <v>58</v>
      </c>
      <c r="C60" s="4" cm="1">
        <f t="array" ref="C60">INDEX(Sheet1!$B$2:$F$522000,SMALL(IF(Sheet1!$A$2:$A$522000=$A$1,ROW(Sheet1!$B$2:$B$522000)),ROW($A58:$F58))-1,2)</f>
        <v>0</v>
      </c>
      <c r="D60" s="4" cm="1">
        <f t="array" ref="D60">INDEX(Sheet1!$B$2:$F$522000,SMALL(IF(Sheet1!$A$2:$A$522000=$A$1,ROW(Sheet1!$B$2:$B$522000)),ROW($A58:$F58))-1,3)</f>
        <v>0</v>
      </c>
      <c r="E60" s="4" cm="1">
        <f t="array" ref="E60">INDEX(Sheet1!$B$2:$F$522000,SMALL(IF(Sheet1!$A$2:$A$522000=$A$1,ROW(Sheet1!$B$2:$B$522000)),ROW($A58:$F58))-1,4)</f>
        <v>0</v>
      </c>
      <c r="F60" s="4" cm="1">
        <f t="array" ref="F60">INDEX(Sheet1!$B$2:$F$522000,SMALL(IF(Sheet1!$A$2:$A$522000=$A$1,ROW(Sheet1!$B$2:$B$522000)),ROW($A58:$F58))-1,5)</f>
        <v>0</v>
      </c>
      <c r="M60" s="9">
        <v>58</v>
      </c>
      <c r="N60" s="10">
        <f t="shared" si="2"/>
        <v>0</v>
      </c>
      <c r="O60" s="11">
        <f t="shared" si="3"/>
        <v>0</v>
      </c>
      <c r="P60" s="12">
        <f t="shared" si="4"/>
        <v>0</v>
      </c>
      <c r="Q60" s="13">
        <f t="shared" si="5"/>
        <v>0</v>
      </c>
      <c r="V60" s="14">
        <f t="shared" si="0"/>
        <v>0.453125</v>
      </c>
      <c r="W60" s="10">
        <f t="shared" si="6"/>
        <v>0</v>
      </c>
      <c r="X60" s="11">
        <f t="shared" si="6"/>
        <v>0</v>
      </c>
      <c r="Y60" s="12">
        <f t="shared" si="6"/>
        <v>0</v>
      </c>
      <c r="Z60" s="13">
        <f t="shared" si="6"/>
        <v>0</v>
      </c>
    </row>
    <row r="61" spans="1:26" x14ac:dyDescent="0.25">
      <c r="A61" s="4"/>
      <c r="B61" s="4">
        <v>59</v>
      </c>
      <c r="C61" s="4" cm="1">
        <f t="array" ref="C61">INDEX(Sheet1!$B$2:$F$522000,SMALL(IF(Sheet1!$A$2:$A$522000=$A$1,ROW(Sheet1!$B$2:$B$522000)),ROW($A59:$F59))-1,2)</f>
        <v>0</v>
      </c>
      <c r="D61" s="4" cm="1">
        <f t="array" ref="D61">INDEX(Sheet1!$B$2:$F$522000,SMALL(IF(Sheet1!$A$2:$A$522000=$A$1,ROW(Sheet1!$B$2:$B$522000)),ROW($A59:$F59))-1,3)</f>
        <v>0</v>
      </c>
      <c r="E61" s="4" cm="1">
        <f t="array" ref="E61">INDEX(Sheet1!$B$2:$F$522000,SMALL(IF(Sheet1!$A$2:$A$522000=$A$1,ROW(Sheet1!$B$2:$B$522000)),ROW($A59:$F59))-1,4)</f>
        <v>0</v>
      </c>
      <c r="F61" s="4" cm="1">
        <f t="array" ref="F61">INDEX(Sheet1!$B$2:$F$522000,SMALL(IF(Sheet1!$A$2:$A$522000=$A$1,ROW(Sheet1!$B$2:$B$522000)),ROW($A59:$F59))-1,5)</f>
        <v>0</v>
      </c>
      <c r="M61" s="9">
        <v>59</v>
      </c>
      <c r="N61" s="10">
        <f t="shared" si="2"/>
        <v>0</v>
      </c>
      <c r="O61" s="11">
        <f t="shared" si="3"/>
        <v>0</v>
      </c>
      <c r="P61" s="12">
        <f t="shared" si="4"/>
        <v>0</v>
      </c>
      <c r="Q61" s="13">
        <f t="shared" si="5"/>
        <v>0</v>
      </c>
      <c r="V61" s="14">
        <f t="shared" si="0"/>
        <v>0.4609375</v>
      </c>
      <c r="W61" s="10">
        <f t="shared" si="6"/>
        <v>0</v>
      </c>
      <c r="X61" s="11">
        <f t="shared" si="6"/>
        <v>0</v>
      </c>
      <c r="Y61" s="12">
        <f t="shared" si="6"/>
        <v>0</v>
      </c>
      <c r="Z61" s="13">
        <f t="shared" si="6"/>
        <v>0</v>
      </c>
    </row>
    <row r="62" spans="1:26" x14ac:dyDescent="0.25">
      <c r="A62" s="4"/>
      <c r="B62" s="4">
        <v>60</v>
      </c>
      <c r="C62" s="4" cm="1">
        <f t="array" ref="C62">INDEX(Sheet1!$B$2:$F$522000,SMALL(IF(Sheet1!$A$2:$A$522000=$A$1,ROW(Sheet1!$B$2:$B$522000)),ROW($A60:$F60))-1,2)</f>
        <v>0</v>
      </c>
      <c r="D62" s="4" cm="1">
        <f t="array" ref="D62">INDEX(Sheet1!$B$2:$F$522000,SMALL(IF(Sheet1!$A$2:$A$522000=$A$1,ROW(Sheet1!$B$2:$B$522000)),ROW($A60:$F60))-1,3)</f>
        <v>0</v>
      </c>
      <c r="E62" s="4" cm="1">
        <f t="array" ref="E62">INDEX(Sheet1!$B$2:$F$522000,SMALL(IF(Sheet1!$A$2:$A$522000=$A$1,ROW(Sheet1!$B$2:$B$522000)),ROW($A60:$F60))-1,4)</f>
        <v>0</v>
      </c>
      <c r="F62" s="4" cm="1">
        <f t="array" ref="F62">INDEX(Sheet1!$B$2:$F$522000,SMALL(IF(Sheet1!$A$2:$A$522000=$A$1,ROW(Sheet1!$B$2:$B$522000)),ROW($A60:$F60))-1,5)</f>
        <v>0</v>
      </c>
      <c r="M62" s="9">
        <v>60</v>
      </c>
      <c r="N62" s="10">
        <f t="shared" si="2"/>
        <v>0</v>
      </c>
      <c r="O62" s="11">
        <f t="shared" si="3"/>
        <v>0</v>
      </c>
      <c r="P62" s="12">
        <f t="shared" si="4"/>
        <v>0</v>
      </c>
      <c r="Q62" s="13">
        <f t="shared" si="5"/>
        <v>0</v>
      </c>
      <c r="V62" s="14">
        <f t="shared" si="0"/>
        <v>0.46875</v>
      </c>
      <c r="W62" s="10">
        <f t="shared" si="6"/>
        <v>0</v>
      </c>
      <c r="X62" s="11">
        <f t="shared" si="6"/>
        <v>0</v>
      </c>
      <c r="Y62" s="12">
        <f t="shared" si="6"/>
        <v>0</v>
      </c>
      <c r="Z62" s="13">
        <f t="shared" si="6"/>
        <v>0</v>
      </c>
    </row>
    <row r="63" spans="1:26" x14ac:dyDescent="0.25">
      <c r="A63" s="4"/>
      <c r="B63" s="4">
        <v>61</v>
      </c>
      <c r="C63" s="4" cm="1">
        <f t="array" ref="C63">INDEX(Sheet1!$B$2:$F$522000,SMALL(IF(Sheet1!$A$2:$A$522000=$A$1,ROW(Sheet1!$B$2:$B$522000)),ROW($A61:$F61))-1,2)</f>
        <v>0</v>
      </c>
      <c r="D63" s="4" cm="1">
        <f t="array" ref="D63">INDEX(Sheet1!$B$2:$F$522000,SMALL(IF(Sheet1!$A$2:$A$522000=$A$1,ROW(Sheet1!$B$2:$B$522000)),ROW($A61:$F61))-1,3)</f>
        <v>0</v>
      </c>
      <c r="E63" s="4" cm="1">
        <f t="array" ref="E63">INDEX(Sheet1!$B$2:$F$522000,SMALL(IF(Sheet1!$A$2:$A$522000=$A$1,ROW(Sheet1!$B$2:$B$522000)),ROW($A61:$F61))-1,4)</f>
        <v>0</v>
      </c>
      <c r="F63" s="4" cm="1">
        <f t="array" ref="F63">INDEX(Sheet1!$B$2:$F$522000,SMALL(IF(Sheet1!$A$2:$A$522000=$A$1,ROW(Sheet1!$B$2:$B$522000)),ROW($A61:$F61))-1,5)</f>
        <v>0</v>
      </c>
      <c r="M63" s="9">
        <v>61</v>
      </c>
      <c r="N63" s="10">
        <f t="shared" si="2"/>
        <v>0</v>
      </c>
      <c r="O63" s="11">
        <f t="shared" si="3"/>
        <v>0</v>
      </c>
      <c r="P63" s="12">
        <f t="shared" si="4"/>
        <v>0</v>
      </c>
      <c r="Q63" s="13">
        <f t="shared" si="5"/>
        <v>0</v>
      </c>
      <c r="V63" s="14">
        <f t="shared" si="0"/>
        <v>0.4765625</v>
      </c>
      <c r="W63" s="10">
        <f t="shared" si="6"/>
        <v>0</v>
      </c>
      <c r="X63" s="11">
        <f t="shared" si="6"/>
        <v>0</v>
      </c>
      <c r="Y63" s="12">
        <f t="shared" si="6"/>
        <v>0</v>
      </c>
      <c r="Z63" s="13">
        <f t="shared" si="6"/>
        <v>0</v>
      </c>
    </row>
    <row r="64" spans="1:26" x14ac:dyDescent="0.25">
      <c r="A64" s="4"/>
      <c r="B64" s="4">
        <v>62</v>
      </c>
      <c r="C64" s="4" cm="1">
        <f t="array" ref="C64">INDEX(Sheet1!$B$2:$F$522000,SMALL(IF(Sheet1!$A$2:$A$522000=$A$1,ROW(Sheet1!$B$2:$B$522000)),ROW($A62:$F62))-1,2)</f>
        <v>0</v>
      </c>
      <c r="D64" s="4" cm="1">
        <f t="array" ref="D64">INDEX(Sheet1!$B$2:$F$522000,SMALL(IF(Sheet1!$A$2:$A$522000=$A$1,ROW(Sheet1!$B$2:$B$522000)),ROW($A62:$F62))-1,3)</f>
        <v>0</v>
      </c>
      <c r="E64" s="4" cm="1">
        <f t="array" ref="E64">INDEX(Sheet1!$B$2:$F$522000,SMALL(IF(Sheet1!$A$2:$A$522000=$A$1,ROW(Sheet1!$B$2:$B$522000)),ROW($A62:$F62))-1,4)</f>
        <v>0</v>
      </c>
      <c r="F64" s="4" cm="1">
        <f t="array" ref="F64">INDEX(Sheet1!$B$2:$F$522000,SMALL(IF(Sheet1!$A$2:$A$522000=$A$1,ROW(Sheet1!$B$2:$B$522000)),ROW($A62:$F62))-1,5)</f>
        <v>0</v>
      </c>
      <c r="M64" s="9">
        <v>62</v>
      </c>
      <c r="N64" s="10">
        <f t="shared" si="2"/>
        <v>0</v>
      </c>
      <c r="O64" s="11">
        <f t="shared" si="3"/>
        <v>0</v>
      </c>
      <c r="P64" s="12">
        <f t="shared" si="4"/>
        <v>0</v>
      </c>
      <c r="Q64" s="13">
        <f t="shared" si="5"/>
        <v>0</v>
      </c>
      <c r="V64" s="14">
        <f t="shared" si="0"/>
        <v>0.484375</v>
      </c>
      <c r="W64" s="10">
        <f t="shared" si="6"/>
        <v>0</v>
      </c>
      <c r="X64" s="11">
        <f t="shared" si="6"/>
        <v>0</v>
      </c>
      <c r="Y64" s="12">
        <f t="shared" si="6"/>
        <v>0</v>
      </c>
      <c r="Z64" s="13">
        <f t="shared" si="6"/>
        <v>0</v>
      </c>
    </row>
    <row r="65" spans="1:26" x14ac:dyDescent="0.25">
      <c r="A65" s="4"/>
      <c r="B65" s="4">
        <v>63</v>
      </c>
      <c r="C65" s="4" cm="1">
        <f t="array" ref="C65">INDEX(Sheet1!$B$2:$F$522000,SMALL(IF(Sheet1!$A$2:$A$522000=$A$1,ROW(Sheet1!$B$2:$B$522000)),ROW($A63:$F63))-1,2)</f>
        <v>0</v>
      </c>
      <c r="D65" s="4" cm="1">
        <f t="array" ref="D65">INDEX(Sheet1!$B$2:$F$522000,SMALL(IF(Sheet1!$A$2:$A$522000=$A$1,ROW(Sheet1!$B$2:$B$522000)),ROW($A63:$F63))-1,3)</f>
        <v>0</v>
      </c>
      <c r="E65" s="4" cm="1">
        <f t="array" ref="E65">INDEX(Sheet1!$B$2:$F$522000,SMALL(IF(Sheet1!$A$2:$A$522000=$A$1,ROW(Sheet1!$B$2:$B$522000)),ROW($A63:$F63))-1,4)</f>
        <v>0</v>
      </c>
      <c r="F65" s="4" cm="1">
        <f t="array" ref="F65">INDEX(Sheet1!$B$2:$F$522000,SMALL(IF(Sheet1!$A$2:$A$522000=$A$1,ROW(Sheet1!$B$2:$B$522000)),ROW($A63:$F63))-1,5)</f>
        <v>0</v>
      </c>
      <c r="M65" s="9">
        <v>63</v>
      </c>
      <c r="N65" s="10">
        <f t="shared" si="2"/>
        <v>0</v>
      </c>
      <c r="O65" s="11">
        <f t="shared" si="3"/>
        <v>0</v>
      </c>
      <c r="P65" s="12">
        <f t="shared" si="4"/>
        <v>0</v>
      </c>
      <c r="Q65" s="13">
        <f t="shared" si="5"/>
        <v>0</v>
      </c>
      <c r="V65" s="14">
        <f t="shared" si="0"/>
        <v>0.4921875</v>
      </c>
      <c r="W65" s="10">
        <f t="shared" si="6"/>
        <v>0</v>
      </c>
      <c r="X65" s="11">
        <f t="shared" si="6"/>
        <v>0</v>
      </c>
      <c r="Y65" s="12">
        <f t="shared" si="6"/>
        <v>0</v>
      </c>
      <c r="Z65" s="13">
        <f t="shared" si="6"/>
        <v>0</v>
      </c>
    </row>
    <row r="66" spans="1:26" x14ac:dyDescent="0.25">
      <c r="A66" s="4"/>
      <c r="B66" s="4">
        <v>64</v>
      </c>
      <c r="C66" s="4" cm="1">
        <f t="array" ref="C66">INDEX(Sheet1!$B$2:$F$522000,SMALL(IF(Sheet1!$A$2:$A$522000=$A$1,ROW(Sheet1!$B$2:$B$522000)),ROW($A64:$F64))-1,2)</f>
        <v>0</v>
      </c>
      <c r="D66" s="4" cm="1">
        <f t="array" ref="D66">INDEX(Sheet1!$B$2:$F$522000,SMALL(IF(Sheet1!$A$2:$A$522000=$A$1,ROW(Sheet1!$B$2:$B$522000)),ROW($A64:$F64))-1,3)</f>
        <v>0</v>
      </c>
      <c r="E66" s="4" cm="1">
        <f t="array" ref="E66">INDEX(Sheet1!$B$2:$F$522000,SMALL(IF(Sheet1!$A$2:$A$522000=$A$1,ROW(Sheet1!$B$2:$B$522000)),ROW($A64:$F64))-1,4)</f>
        <v>0</v>
      </c>
      <c r="F66" s="4" cm="1">
        <f t="array" ref="F66">INDEX(Sheet1!$B$2:$F$522000,SMALL(IF(Sheet1!$A$2:$A$522000=$A$1,ROW(Sheet1!$B$2:$B$522000)),ROW($A64:$F64))-1,5)</f>
        <v>0</v>
      </c>
      <c r="M66" s="9">
        <v>64</v>
      </c>
      <c r="N66" s="10">
        <f t="shared" si="2"/>
        <v>0</v>
      </c>
      <c r="O66" s="11">
        <f t="shared" si="3"/>
        <v>0</v>
      </c>
      <c r="P66" s="12">
        <f t="shared" si="4"/>
        <v>0</v>
      </c>
      <c r="Q66" s="13">
        <f t="shared" si="5"/>
        <v>0</v>
      </c>
      <c r="V66" s="14">
        <f t="shared" si="0"/>
        <v>0.5</v>
      </c>
      <c r="W66" s="10">
        <f t="shared" si="6"/>
        <v>0</v>
      </c>
      <c r="X66" s="11">
        <f t="shared" si="6"/>
        <v>0</v>
      </c>
      <c r="Y66" s="12">
        <f t="shared" si="6"/>
        <v>0</v>
      </c>
      <c r="Z66" s="13">
        <f t="shared" si="6"/>
        <v>0</v>
      </c>
    </row>
    <row r="67" spans="1:26" x14ac:dyDescent="0.25">
      <c r="A67" s="4"/>
      <c r="B67" s="4">
        <v>65</v>
      </c>
      <c r="C67" s="4" cm="1">
        <f t="array" ref="C67">INDEX(Sheet1!$B$2:$F$522000,SMALL(IF(Sheet1!$A$2:$A$522000=$A$1,ROW(Sheet1!$B$2:$B$522000)),ROW($A65:$F65))-1,2)</f>
        <v>0</v>
      </c>
      <c r="D67" s="4" cm="1">
        <f t="array" ref="D67">INDEX(Sheet1!$B$2:$F$522000,SMALL(IF(Sheet1!$A$2:$A$522000=$A$1,ROW(Sheet1!$B$2:$B$522000)),ROW($A65:$F65))-1,3)</f>
        <v>0</v>
      </c>
      <c r="E67" s="4" cm="1">
        <f t="array" ref="E67">INDEX(Sheet1!$B$2:$F$522000,SMALL(IF(Sheet1!$A$2:$A$522000=$A$1,ROW(Sheet1!$B$2:$B$522000)),ROW($A65:$F65))-1,4)</f>
        <v>0</v>
      </c>
      <c r="F67" s="4" cm="1">
        <f t="array" ref="F67">INDEX(Sheet1!$B$2:$F$522000,SMALL(IF(Sheet1!$A$2:$A$522000=$A$1,ROW(Sheet1!$B$2:$B$522000)),ROW($A65:$F65))-1,5)</f>
        <v>0</v>
      </c>
      <c r="M67" s="9">
        <v>65</v>
      </c>
      <c r="N67" s="10">
        <f t="shared" si="2"/>
        <v>0</v>
      </c>
      <c r="O67" s="11">
        <f t="shared" si="3"/>
        <v>0</v>
      </c>
      <c r="P67" s="12">
        <f t="shared" si="4"/>
        <v>0</v>
      </c>
      <c r="Q67" s="13">
        <f t="shared" si="5"/>
        <v>0</v>
      </c>
      <c r="V67" s="14">
        <f t="shared" ref="V67:V129" si="7">$M67*(1/128)</f>
        <v>0.5078125</v>
      </c>
      <c r="W67" s="10">
        <f t="shared" si="6"/>
        <v>0</v>
      </c>
      <c r="X67" s="11">
        <f t="shared" si="6"/>
        <v>0</v>
      </c>
      <c r="Y67" s="12">
        <f t="shared" si="6"/>
        <v>0</v>
      </c>
      <c r="Z67" s="13">
        <f t="shared" si="6"/>
        <v>0</v>
      </c>
    </row>
    <row r="68" spans="1:26" x14ac:dyDescent="0.25">
      <c r="A68" s="4"/>
      <c r="B68" s="4">
        <v>66</v>
      </c>
      <c r="C68" s="4" cm="1">
        <f t="array" ref="C68">INDEX(Sheet1!$B$2:$F$522000,SMALL(IF(Sheet1!$A$2:$A$522000=$A$1,ROW(Sheet1!$B$2:$B$522000)),ROW($A66:$F66))-1,2)</f>
        <v>0</v>
      </c>
      <c r="D68" s="4" cm="1">
        <f t="array" ref="D68">INDEX(Sheet1!$B$2:$F$522000,SMALL(IF(Sheet1!$A$2:$A$522000=$A$1,ROW(Sheet1!$B$2:$B$522000)),ROW($A66:$F66))-1,3)</f>
        <v>0</v>
      </c>
      <c r="E68" s="4" cm="1">
        <f t="array" ref="E68">INDEX(Sheet1!$B$2:$F$522000,SMALL(IF(Sheet1!$A$2:$A$522000=$A$1,ROW(Sheet1!$B$2:$B$522000)),ROW($A66:$F66))-1,4)</f>
        <v>0</v>
      </c>
      <c r="F68" s="4" cm="1">
        <f t="array" ref="F68">INDEX(Sheet1!$B$2:$F$522000,SMALL(IF(Sheet1!$A$2:$A$522000=$A$1,ROW(Sheet1!$B$2:$B$522000)),ROW($A66:$F66))-1,5)</f>
        <v>0</v>
      </c>
      <c r="M68" s="9">
        <v>66</v>
      </c>
      <c r="N68" s="10">
        <f t="shared" ref="N68:N99" si="8">C68</f>
        <v>0</v>
      </c>
      <c r="O68" s="11">
        <f t="shared" ref="O68:O99" si="9">D68</f>
        <v>0</v>
      </c>
      <c r="P68" s="12">
        <f t="shared" ref="P68:P99" si="10">E68</f>
        <v>0</v>
      </c>
      <c r="Q68" s="13">
        <f t="shared" ref="Q68:Q99" si="11">F68</f>
        <v>0</v>
      </c>
      <c r="V68" s="14">
        <f t="shared" si="7"/>
        <v>0.515625</v>
      </c>
      <c r="W68" s="10">
        <f t="shared" ref="W68:Z129" si="12">IMABS(R68)</f>
        <v>0</v>
      </c>
      <c r="X68" s="11">
        <f t="shared" si="12"/>
        <v>0</v>
      </c>
      <c r="Y68" s="12">
        <f t="shared" si="12"/>
        <v>0</v>
      </c>
      <c r="Z68" s="13">
        <f t="shared" si="12"/>
        <v>0</v>
      </c>
    </row>
    <row r="69" spans="1:26" x14ac:dyDescent="0.25">
      <c r="A69" s="4"/>
      <c r="B69" s="4">
        <v>67</v>
      </c>
      <c r="C69" s="4" cm="1">
        <f t="array" ref="C69">INDEX(Sheet1!$B$2:$F$522000,SMALL(IF(Sheet1!$A$2:$A$522000=$A$1,ROW(Sheet1!$B$2:$B$522000)),ROW($A67:$F67))-1,2)</f>
        <v>0</v>
      </c>
      <c r="D69" s="4" cm="1">
        <f t="array" ref="D69">INDEX(Sheet1!$B$2:$F$522000,SMALL(IF(Sheet1!$A$2:$A$522000=$A$1,ROW(Sheet1!$B$2:$B$522000)),ROW($A67:$F67))-1,3)</f>
        <v>0</v>
      </c>
      <c r="E69" s="4" cm="1">
        <f t="array" ref="E69">INDEX(Sheet1!$B$2:$F$522000,SMALL(IF(Sheet1!$A$2:$A$522000=$A$1,ROW(Sheet1!$B$2:$B$522000)),ROW($A67:$F67))-1,4)</f>
        <v>0</v>
      </c>
      <c r="F69" s="4" cm="1">
        <f t="array" ref="F69">INDEX(Sheet1!$B$2:$F$522000,SMALL(IF(Sheet1!$A$2:$A$522000=$A$1,ROW(Sheet1!$B$2:$B$522000)),ROW($A67:$F67))-1,5)</f>
        <v>0</v>
      </c>
      <c r="M69" s="9">
        <v>67</v>
      </c>
      <c r="N69" s="10">
        <f t="shared" si="8"/>
        <v>0</v>
      </c>
      <c r="O69" s="11">
        <f t="shared" si="9"/>
        <v>0</v>
      </c>
      <c r="P69" s="12">
        <f t="shared" si="10"/>
        <v>0</v>
      </c>
      <c r="Q69" s="13">
        <f t="shared" si="11"/>
        <v>0</v>
      </c>
      <c r="V69" s="14">
        <f t="shared" si="7"/>
        <v>0.5234375</v>
      </c>
      <c r="W69" s="10">
        <f t="shared" si="12"/>
        <v>0</v>
      </c>
      <c r="X69" s="11">
        <f t="shared" si="12"/>
        <v>0</v>
      </c>
      <c r="Y69" s="12">
        <f t="shared" si="12"/>
        <v>0</v>
      </c>
      <c r="Z69" s="13">
        <f t="shared" si="12"/>
        <v>0</v>
      </c>
    </row>
    <row r="70" spans="1:26" x14ac:dyDescent="0.25">
      <c r="A70" s="4"/>
      <c r="B70" s="4">
        <v>68</v>
      </c>
      <c r="C70" s="4" cm="1">
        <f t="array" ref="C70">INDEX(Sheet1!$B$2:$F$522000,SMALL(IF(Sheet1!$A$2:$A$522000=$A$1,ROW(Sheet1!$B$2:$B$522000)),ROW($A68:$F68))-1,2)</f>
        <v>0</v>
      </c>
      <c r="D70" s="4" cm="1">
        <f t="array" ref="D70">INDEX(Sheet1!$B$2:$F$522000,SMALL(IF(Sheet1!$A$2:$A$522000=$A$1,ROW(Sheet1!$B$2:$B$522000)),ROW($A68:$F68))-1,3)</f>
        <v>0</v>
      </c>
      <c r="E70" s="4" cm="1">
        <f t="array" ref="E70">INDEX(Sheet1!$B$2:$F$522000,SMALL(IF(Sheet1!$A$2:$A$522000=$A$1,ROW(Sheet1!$B$2:$B$522000)),ROW($A68:$F68))-1,4)</f>
        <v>0</v>
      </c>
      <c r="F70" s="4" cm="1">
        <f t="array" ref="F70">INDEX(Sheet1!$B$2:$F$522000,SMALL(IF(Sheet1!$A$2:$A$522000=$A$1,ROW(Sheet1!$B$2:$B$522000)),ROW($A68:$F68))-1,5)</f>
        <v>0</v>
      </c>
      <c r="M70" s="9">
        <v>68</v>
      </c>
      <c r="N70" s="10">
        <f t="shared" si="8"/>
        <v>0</v>
      </c>
      <c r="O70" s="11">
        <f t="shared" si="9"/>
        <v>0</v>
      </c>
      <c r="P70" s="12">
        <f t="shared" si="10"/>
        <v>0</v>
      </c>
      <c r="Q70" s="13">
        <f t="shared" si="11"/>
        <v>0</v>
      </c>
      <c r="V70" s="14">
        <f t="shared" si="7"/>
        <v>0.53125</v>
      </c>
      <c r="W70" s="10">
        <f t="shared" si="12"/>
        <v>0</v>
      </c>
      <c r="X70" s="11">
        <f t="shared" si="12"/>
        <v>0</v>
      </c>
      <c r="Y70" s="12">
        <f t="shared" si="12"/>
        <v>0</v>
      </c>
      <c r="Z70" s="13">
        <f t="shared" si="12"/>
        <v>0</v>
      </c>
    </row>
    <row r="71" spans="1:26" x14ac:dyDescent="0.25">
      <c r="A71" s="4"/>
      <c r="B71" s="4">
        <v>69</v>
      </c>
      <c r="C71" s="4" cm="1">
        <f t="array" ref="C71">INDEX(Sheet1!$B$2:$F$522000,SMALL(IF(Sheet1!$A$2:$A$522000=$A$1,ROW(Sheet1!$B$2:$B$522000)),ROW($A69:$F69))-1,2)</f>
        <v>0</v>
      </c>
      <c r="D71" s="4" cm="1">
        <f t="array" ref="D71">INDEX(Sheet1!$B$2:$F$522000,SMALL(IF(Sheet1!$A$2:$A$522000=$A$1,ROW(Sheet1!$B$2:$B$522000)),ROW($A69:$F69))-1,3)</f>
        <v>0</v>
      </c>
      <c r="E71" s="4" cm="1">
        <f t="array" ref="E71">INDEX(Sheet1!$B$2:$F$522000,SMALL(IF(Sheet1!$A$2:$A$522000=$A$1,ROW(Sheet1!$B$2:$B$522000)),ROW($A69:$F69))-1,4)</f>
        <v>0</v>
      </c>
      <c r="F71" s="4" cm="1">
        <f t="array" ref="F71">INDEX(Sheet1!$B$2:$F$522000,SMALL(IF(Sheet1!$A$2:$A$522000=$A$1,ROW(Sheet1!$B$2:$B$522000)),ROW($A69:$F69))-1,5)</f>
        <v>0</v>
      </c>
      <c r="M71" s="9">
        <v>69</v>
      </c>
      <c r="N71" s="10">
        <f t="shared" si="8"/>
        <v>0</v>
      </c>
      <c r="O71" s="11">
        <f t="shared" si="9"/>
        <v>0</v>
      </c>
      <c r="P71" s="12">
        <f t="shared" si="10"/>
        <v>0</v>
      </c>
      <c r="Q71" s="13">
        <f t="shared" si="11"/>
        <v>0</v>
      </c>
      <c r="V71" s="14">
        <f t="shared" si="7"/>
        <v>0.5390625</v>
      </c>
      <c r="W71" s="10">
        <f t="shared" si="12"/>
        <v>0</v>
      </c>
      <c r="X71" s="11">
        <f t="shared" si="12"/>
        <v>0</v>
      </c>
      <c r="Y71" s="12">
        <f t="shared" si="12"/>
        <v>0</v>
      </c>
      <c r="Z71" s="13">
        <f t="shared" si="12"/>
        <v>0</v>
      </c>
    </row>
    <row r="72" spans="1:26" x14ac:dyDescent="0.25">
      <c r="A72" s="4"/>
      <c r="B72" s="4">
        <v>70</v>
      </c>
      <c r="C72" s="4" cm="1">
        <f t="array" ref="C72">INDEX(Sheet1!$B$2:$F$522000,SMALL(IF(Sheet1!$A$2:$A$522000=$A$1,ROW(Sheet1!$B$2:$B$522000)),ROW($A70:$F70))-1,2)</f>
        <v>0</v>
      </c>
      <c r="D72" s="4" cm="1">
        <f t="array" ref="D72">INDEX(Sheet1!$B$2:$F$522000,SMALL(IF(Sheet1!$A$2:$A$522000=$A$1,ROW(Sheet1!$B$2:$B$522000)),ROW($A70:$F70))-1,3)</f>
        <v>0</v>
      </c>
      <c r="E72" s="4" cm="1">
        <f t="array" ref="E72">INDEX(Sheet1!$B$2:$F$522000,SMALL(IF(Sheet1!$A$2:$A$522000=$A$1,ROW(Sheet1!$B$2:$B$522000)),ROW($A70:$F70))-1,4)</f>
        <v>0</v>
      </c>
      <c r="F72" s="4" cm="1">
        <f t="array" ref="F72">INDEX(Sheet1!$B$2:$F$522000,SMALL(IF(Sheet1!$A$2:$A$522000=$A$1,ROW(Sheet1!$B$2:$B$522000)),ROW($A70:$F70))-1,5)</f>
        <v>0</v>
      </c>
      <c r="M72" s="9">
        <v>70</v>
      </c>
      <c r="N72" s="10">
        <f t="shared" si="8"/>
        <v>0</v>
      </c>
      <c r="O72" s="11">
        <f t="shared" si="9"/>
        <v>0</v>
      </c>
      <c r="P72" s="12">
        <f t="shared" si="10"/>
        <v>0</v>
      </c>
      <c r="Q72" s="13">
        <f t="shared" si="11"/>
        <v>0</v>
      </c>
      <c r="V72" s="14">
        <f t="shared" si="7"/>
        <v>0.546875</v>
      </c>
      <c r="W72" s="10">
        <f t="shared" si="12"/>
        <v>0</v>
      </c>
      <c r="X72" s="11">
        <f t="shared" si="12"/>
        <v>0</v>
      </c>
      <c r="Y72" s="12">
        <f t="shared" si="12"/>
        <v>0</v>
      </c>
      <c r="Z72" s="13">
        <f t="shared" si="12"/>
        <v>0</v>
      </c>
    </row>
    <row r="73" spans="1:26" x14ac:dyDescent="0.25">
      <c r="A73" s="4"/>
      <c r="B73" s="4">
        <v>71</v>
      </c>
      <c r="C73" s="4" cm="1">
        <f t="array" ref="C73">INDEX(Sheet1!$B$2:$F$522000,SMALL(IF(Sheet1!$A$2:$A$522000=$A$1,ROW(Sheet1!$B$2:$B$522000)),ROW($A71:$F71))-1,2)</f>
        <v>0</v>
      </c>
      <c r="D73" s="4" cm="1">
        <f t="array" ref="D73">INDEX(Sheet1!$B$2:$F$522000,SMALL(IF(Sheet1!$A$2:$A$522000=$A$1,ROW(Sheet1!$B$2:$B$522000)),ROW($A71:$F71))-1,3)</f>
        <v>0</v>
      </c>
      <c r="E73" s="4" cm="1">
        <f t="array" ref="E73">INDEX(Sheet1!$B$2:$F$522000,SMALL(IF(Sheet1!$A$2:$A$522000=$A$1,ROW(Sheet1!$B$2:$B$522000)),ROW($A71:$F71))-1,4)</f>
        <v>0</v>
      </c>
      <c r="F73" s="4" cm="1">
        <f t="array" ref="F73">INDEX(Sheet1!$B$2:$F$522000,SMALL(IF(Sheet1!$A$2:$A$522000=$A$1,ROW(Sheet1!$B$2:$B$522000)),ROW($A71:$F71))-1,5)</f>
        <v>0</v>
      </c>
      <c r="M73" s="9">
        <v>71</v>
      </c>
      <c r="N73" s="10">
        <f t="shared" si="8"/>
        <v>0</v>
      </c>
      <c r="O73" s="11">
        <f t="shared" si="9"/>
        <v>0</v>
      </c>
      <c r="P73" s="12">
        <f t="shared" si="10"/>
        <v>0</v>
      </c>
      <c r="Q73" s="13">
        <f t="shared" si="11"/>
        <v>0</v>
      </c>
      <c r="V73" s="14">
        <f t="shared" si="7"/>
        <v>0.5546875</v>
      </c>
      <c r="W73" s="10">
        <f t="shared" si="12"/>
        <v>0</v>
      </c>
      <c r="X73" s="11">
        <f t="shared" si="12"/>
        <v>0</v>
      </c>
      <c r="Y73" s="12">
        <f t="shared" si="12"/>
        <v>0</v>
      </c>
      <c r="Z73" s="13">
        <f t="shared" si="12"/>
        <v>0</v>
      </c>
    </row>
    <row r="74" spans="1:26" x14ac:dyDescent="0.25">
      <c r="A74" s="4"/>
      <c r="B74" s="4">
        <v>72</v>
      </c>
      <c r="C74" s="4" cm="1">
        <f t="array" ref="C74">INDEX(Sheet1!$B$2:$F$522000,SMALL(IF(Sheet1!$A$2:$A$522000=$A$1,ROW(Sheet1!$B$2:$B$522000)),ROW($A72:$F72))-1,2)</f>
        <v>0</v>
      </c>
      <c r="D74" s="4" cm="1">
        <f t="array" ref="D74">INDEX(Sheet1!$B$2:$F$522000,SMALL(IF(Sheet1!$A$2:$A$522000=$A$1,ROW(Sheet1!$B$2:$B$522000)),ROW($A72:$F72))-1,3)</f>
        <v>0</v>
      </c>
      <c r="E74" s="4" cm="1">
        <f t="array" ref="E74">INDEX(Sheet1!$B$2:$F$522000,SMALL(IF(Sheet1!$A$2:$A$522000=$A$1,ROW(Sheet1!$B$2:$B$522000)),ROW($A72:$F72))-1,4)</f>
        <v>0</v>
      </c>
      <c r="F74" s="4" cm="1">
        <f t="array" ref="F74">INDEX(Sheet1!$B$2:$F$522000,SMALL(IF(Sheet1!$A$2:$A$522000=$A$1,ROW(Sheet1!$B$2:$B$522000)),ROW($A72:$F72))-1,5)</f>
        <v>0</v>
      </c>
      <c r="M74" s="9">
        <v>72</v>
      </c>
      <c r="N74" s="10">
        <f t="shared" si="8"/>
        <v>0</v>
      </c>
      <c r="O74" s="11">
        <f t="shared" si="9"/>
        <v>0</v>
      </c>
      <c r="P74" s="12">
        <f t="shared" si="10"/>
        <v>0</v>
      </c>
      <c r="Q74" s="13">
        <f t="shared" si="11"/>
        <v>0</v>
      </c>
      <c r="V74" s="14">
        <f t="shared" si="7"/>
        <v>0.5625</v>
      </c>
      <c r="W74" s="10">
        <f t="shared" si="12"/>
        <v>0</v>
      </c>
      <c r="X74" s="11">
        <f t="shared" si="12"/>
        <v>0</v>
      </c>
      <c r="Y74" s="12">
        <f t="shared" si="12"/>
        <v>0</v>
      </c>
      <c r="Z74" s="13">
        <f t="shared" si="12"/>
        <v>0</v>
      </c>
    </row>
    <row r="75" spans="1:26" x14ac:dyDescent="0.25">
      <c r="A75" s="4"/>
      <c r="B75" s="4">
        <v>73</v>
      </c>
      <c r="C75" s="4" cm="1">
        <f t="array" ref="C75">INDEX(Sheet1!$B$2:$F$522000,SMALL(IF(Sheet1!$A$2:$A$522000=$A$1,ROW(Sheet1!$B$2:$B$522000)),ROW($A73:$F73))-1,2)</f>
        <v>0</v>
      </c>
      <c r="D75" s="4" cm="1">
        <f t="array" ref="D75">INDEX(Sheet1!$B$2:$F$522000,SMALL(IF(Sheet1!$A$2:$A$522000=$A$1,ROW(Sheet1!$B$2:$B$522000)),ROW($A73:$F73))-1,3)</f>
        <v>0</v>
      </c>
      <c r="E75" s="4" cm="1">
        <f t="array" ref="E75">INDEX(Sheet1!$B$2:$F$522000,SMALL(IF(Sheet1!$A$2:$A$522000=$A$1,ROW(Sheet1!$B$2:$B$522000)),ROW($A73:$F73))-1,4)</f>
        <v>0</v>
      </c>
      <c r="F75" s="4" cm="1">
        <f t="array" ref="F75">INDEX(Sheet1!$B$2:$F$522000,SMALL(IF(Sheet1!$A$2:$A$522000=$A$1,ROW(Sheet1!$B$2:$B$522000)),ROW($A73:$F73))-1,5)</f>
        <v>0</v>
      </c>
      <c r="M75" s="9">
        <v>73</v>
      </c>
      <c r="N75" s="10">
        <f t="shared" si="8"/>
        <v>0</v>
      </c>
      <c r="O75" s="11">
        <f t="shared" si="9"/>
        <v>0</v>
      </c>
      <c r="P75" s="12">
        <f t="shared" si="10"/>
        <v>0</v>
      </c>
      <c r="Q75" s="13">
        <f t="shared" si="11"/>
        <v>0</v>
      </c>
      <c r="V75" s="14">
        <f t="shared" si="7"/>
        <v>0.5703125</v>
      </c>
      <c r="W75" s="10">
        <f t="shared" si="12"/>
        <v>0</v>
      </c>
      <c r="X75" s="11">
        <f t="shared" si="12"/>
        <v>0</v>
      </c>
      <c r="Y75" s="12">
        <f t="shared" si="12"/>
        <v>0</v>
      </c>
      <c r="Z75" s="13">
        <f t="shared" si="12"/>
        <v>0</v>
      </c>
    </row>
    <row r="76" spans="1:26" x14ac:dyDescent="0.25">
      <c r="A76" s="4"/>
      <c r="B76" s="4">
        <v>74</v>
      </c>
      <c r="C76" s="4" cm="1">
        <f t="array" ref="C76">INDEX(Sheet1!$B$2:$F$522000,SMALL(IF(Sheet1!$A$2:$A$522000=$A$1,ROW(Sheet1!$B$2:$B$522000)),ROW($A74:$F74))-1,2)</f>
        <v>0</v>
      </c>
      <c r="D76" s="4" cm="1">
        <f t="array" ref="D76">INDEX(Sheet1!$B$2:$F$522000,SMALL(IF(Sheet1!$A$2:$A$522000=$A$1,ROW(Sheet1!$B$2:$B$522000)),ROW($A74:$F74))-1,3)</f>
        <v>0</v>
      </c>
      <c r="E76" s="4" cm="1">
        <f t="array" ref="E76">INDEX(Sheet1!$B$2:$F$522000,SMALL(IF(Sheet1!$A$2:$A$522000=$A$1,ROW(Sheet1!$B$2:$B$522000)),ROW($A74:$F74))-1,4)</f>
        <v>0</v>
      </c>
      <c r="F76" s="4" cm="1">
        <f t="array" ref="F76">INDEX(Sheet1!$B$2:$F$522000,SMALL(IF(Sheet1!$A$2:$A$522000=$A$1,ROW(Sheet1!$B$2:$B$522000)),ROW($A74:$F74))-1,5)</f>
        <v>0</v>
      </c>
      <c r="M76" s="9">
        <v>74</v>
      </c>
      <c r="N76" s="10">
        <f t="shared" si="8"/>
        <v>0</v>
      </c>
      <c r="O76" s="11">
        <f t="shared" si="9"/>
        <v>0</v>
      </c>
      <c r="P76" s="12">
        <f t="shared" si="10"/>
        <v>0</v>
      </c>
      <c r="Q76" s="13">
        <f t="shared" si="11"/>
        <v>0</v>
      </c>
      <c r="V76" s="14">
        <f t="shared" si="7"/>
        <v>0.578125</v>
      </c>
      <c r="W76" s="10">
        <f t="shared" si="12"/>
        <v>0</v>
      </c>
      <c r="X76" s="11">
        <f t="shared" si="12"/>
        <v>0</v>
      </c>
      <c r="Y76" s="12">
        <f t="shared" si="12"/>
        <v>0</v>
      </c>
      <c r="Z76" s="13">
        <f t="shared" si="12"/>
        <v>0</v>
      </c>
    </row>
    <row r="77" spans="1:26" x14ac:dyDescent="0.25">
      <c r="A77" s="4"/>
      <c r="B77" s="4">
        <v>75</v>
      </c>
      <c r="C77" s="4" cm="1">
        <f t="array" ref="C77">INDEX(Sheet1!$B$2:$F$522000,SMALL(IF(Sheet1!$A$2:$A$522000=$A$1,ROW(Sheet1!$B$2:$B$522000)),ROW($A75:$F75))-1,2)</f>
        <v>0</v>
      </c>
      <c r="D77" s="4" cm="1">
        <f t="array" ref="D77">INDEX(Sheet1!$B$2:$F$522000,SMALL(IF(Sheet1!$A$2:$A$522000=$A$1,ROW(Sheet1!$B$2:$B$522000)),ROW($A75:$F75))-1,3)</f>
        <v>0</v>
      </c>
      <c r="E77" s="4" cm="1">
        <f t="array" ref="E77">INDEX(Sheet1!$B$2:$F$522000,SMALL(IF(Sheet1!$A$2:$A$522000=$A$1,ROW(Sheet1!$B$2:$B$522000)),ROW($A75:$F75))-1,4)</f>
        <v>0</v>
      </c>
      <c r="F77" s="4" cm="1">
        <f t="array" ref="F77">INDEX(Sheet1!$B$2:$F$522000,SMALL(IF(Sheet1!$A$2:$A$522000=$A$1,ROW(Sheet1!$B$2:$B$522000)),ROW($A75:$F75))-1,5)</f>
        <v>0</v>
      </c>
      <c r="M77" s="9">
        <v>75</v>
      </c>
      <c r="N77" s="10">
        <f t="shared" si="8"/>
        <v>0</v>
      </c>
      <c r="O77" s="11">
        <f t="shared" si="9"/>
        <v>0</v>
      </c>
      <c r="P77" s="12">
        <f t="shared" si="10"/>
        <v>0</v>
      </c>
      <c r="Q77" s="13">
        <f t="shared" si="11"/>
        <v>0</v>
      </c>
      <c r="V77" s="14">
        <f t="shared" si="7"/>
        <v>0.5859375</v>
      </c>
      <c r="W77" s="10">
        <f t="shared" si="12"/>
        <v>0</v>
      </c>
      <c r="X77" s="11">
        <f t="shared" si="12"/>
        <v>0</v>
      </c>
      <c r="Y77" s="12">
        <f t="shared" si="12"/>
        <v>0</v>
      </c>
      <c r="Z77" s="13">
        <f t="shared" si="12"/>
        <v>0</v>
      </c>
    </row>
    <row r="78" spans="1:26" x14ac:dyDescent="0.25">
      <c r="A78" s="4"/>
      <c r="B78" s="4">
        <v>76</v>
      </c>
      <c r="C78" s="4" cm="1">
        <f t="array" ref="C78">INDEX(Sheet1!$B$2:$F$522000,SMALL(IF(Sheet1!$A$2:$A$522000=$A$1,ROW(Sheet1!$B$2:$B$522000)),ROW($A76:$F76))-1,2)</f>
        <v>0</v>
      </c>
      <c r="D78" s="4" cm="1">
        <f t="array" ref="D78">INDEX(Sheet1!$B$2:$F$522000,SMALL(IF(Sheet1!$A$2:$A$522000=$A$1,ROW(Sheet1!$B$2:$B$522000)),ROW($A76:$F76))-1,3)</f>
        <v>0</v>
      </c>
      <c r="E78" s="4" cm="1">
        <f t="array" ref="E78">INDEX(Sheet1!$B$2:$F$522000,SMALL(IF(Sheet1!$A$2:$A$522000=$A$1,ROW(Sheet1!$B$2:$B$522000)),ROW($A76:$F76))-1,4)</f>
        <v>0</v>
      </c>
      <c r="F78" s="4" cm="1">
        <f t="array" ref="F78">INDEX(Sheet1!$B$2:$F$522000,SMALL(IF(Sheet1!$A$2:$A$522000=$A$1,ROW(Sheet1!$B$2:$B$522000)),ROW($A76:$F76))-1,5)</f>
        <v>0</v>
      </c>
      <c r="M78" s="9">
        <v>76</v>
      </c>
      <c r="N78" s="10">
        <f t="shared" si="8"/>
        <v>0</v>
      </c>
      <c r="O78" s="11">
        <f t="shared" si="9"/>
        <v>0</v>
      </c>
      <c r="P78" s="12">
        <f t="shared" si="10"/>
        <v>0</v>
      </c>
      <c r="Q78" s="13">
        <f t="shared" si="11"/>
        <v>0</v>
      </c>
      <c r="V78" s="14">
        <f t="shared" si="7"/>
        <v>0.59375</v>
      </c>
      <c r="W78" s="10">
        <f t="shared" si="12"/>
        <v>0</v>
      </c>
      <c r="X78" s="11">
        <f t="shared" si="12"/>
        <v>0</v>
      </c>
      <c r="Y78" s="12">
        <f t="shared" si="12"/>
        <v>0</v>
      </c>
      <c r="Z78" s="13">
        <f t="shared" si="12"/>
        <v>0</v>
      </c>
    </row>
    <row r="79" spans="1:26" x14ac:dyDescent="0.25">
      <c r="A79" s="4"/>
      <c r="B79" s="4">
        <v>77</v>
      </c>
      <c r="C79" s="4" cm="1">
        <f t="array" ref="C79">INDEX(Sheet1!$B$2:$F$522000,SMALL(IF(Sheet1!$A$2:$A$522000=$A$1,ROW(Sheet1!$B$2:$B$522000)),ROW($A77:$F77))-1,2)</f>
        <v>0</v>
      </c>
      <c r="D79" s="4" cm="1">
        <f t="array" ref="D79">INDEX(Sheet1!$B$2:$F$522000,SMALL(IF(Sheet1!$A$2:$A$522000=$A$1,ROW(Sheet1!$B$2:$B$522000)),ROW($A77:$F77))-1,3)</f>
        <v>0</v>
      </c>
      <c r="E79" s="4" cm="1">
        <f t="array" ref="E79">INDEX(Sheet1!$B$2:$F$522000,SMALL(IF(Sheet1!$A$2:$A$522000=$A$1,ROW(Sheet1!$B$2:$B$522000)),ROW($A77:$F77))-1,4)</f>
        <v>0</v>
      </c>
      <c r="F79" s="4" cm="1">
        <f t="array" ref="F79">INDEX(Sheet1!$B$2:$F$522000,SMALL(IF(Sheet1!$A$2:$A$522000=$A$1,ROW(Sheet1!$B$2:$B$522000)),ROW($A77:$F77))-1,5)</f>
        <v>0</v>
      </c>
      <c r="M79" s="9">
        <v>77</v>
      </c>
      <c r="N79" s="10">
        <f t="shared" si="8"/>
        <v>0</v>
      </c>
      <c r="O79" s="11">
        <f t="shared" si="9"/>
        <v>0</v>
      </c>
      <c r="P79" s="12">
        <f t="shared" si="10"/>
        <v>0</v>
      </c>
      <c r="Q79" s="13">
        <f t="shared" si="11"/>
        <v>0</v>
      </c>
      <c r="V79" s="14">
        <f t="shared" si="7"/>
        <v>0.6015625</v>
      </c>
      <c r="W79" s="10">
        <f t="shared" si="12"/>
        <v>0</v>
      </c>
      <c r="X79" s="11">
        <f t="shared" si="12"/>
        <v>0</v>
      </c>
      <c r="Y79" s="12">
        <f t="shared" si="12"/>
        <v>0</v>
      </c>
      <c r="Z79" s="13">
        <f t="shared" si="12"/>
        <v>0</v>
      </c>
    </row>
    <row r="80" spans="1:26" x14ac:dyDescent="0.25">
      <c r="A80" s="4"/>
      <c r="B80" s="4">
        <v>78</v>
      </c>
      <c r="C80" s="4" cm="1">
        <f t="array" ref="C80">INDEX(Sheet1!$B$2:$F$522000,SMALL(IF(Sheet1!$A$2:$A$522000=$A$1,ROW(Sheet1!$B$2:$B$522000)),ROW($A78:$F78))-1,2)</f>
        <v>0</v>
      </c>
      <c r="D80" s="4" cm="1">
        <f t="array" ref="D80">INDEX(Sheet1!$B$2:$F$522000,SMALL(IF(Sheet1!$A$2:$A$522000=$A$1,ROW(Sheet1!$B$2:$B$522000)),ROW($A78:$F78))-1,3)</f>
        <v>0</v>
      </c>
      <c r="E80" s="4" cm="1">
        <f t="array" ref="E80">INDEX(Sheet1!$B$2:$F$522000,SMALL(IF(Sheet1!$A$2:$A$522000=$A$1,ROW(Sheet1!$B$2:$B$522000)),ROW($A78:$F78))-1,4)</f>
        <v>0</v>
      </c>
      <c r="F80" s="4" cm="1">
        <f t="array" ref="F80">INDEX(Sheet1!$B$2:$F$522000,SMALL(IF(Sheet1!$A$2:$A$522000=$A$1,ROW(Sheet1!$B$2:$B$522000)),ROW($A78:$F78))-1,5)</f>
        <v>0</v>
      </c>
      <c r="M80" s="9">
        <v>78</v>
      </c>
      <c r="N80" s="10">
        <f t="shared" si="8"/>
        <v>0</v>
      </c>
      <c r="O80" s="11">
        <f t="shared" si="9"/>
        <v>0</v>
      </c>
      <c r="P80" s="12">
        <f t="shared" si="10"/>
        <v>0</v>
      </c>
      <c r="Q80" s="13">
        <f t="shared" si="11"/>
        <v>0</v>
      </c>
      <c r="V80" s="14">
        <f t="shared" si="7"/>
        <v>0.609375</v>
      </c>
      <c r="W80" s="10">
        <f t="shared" si="12"/>
        <v>0</v>
      </c>
      <c r="X80" s="11">
        <f t="shared" si="12"/>
        <v>0</v>
      </c>
      <c r="Y80" s="12">
        <f t="shared" si="12"/>
        <v>0</v>
      </c>
      <c r="Z80" s="13">
        <f t="shared" si="12"/>
        <v>0</v>
      </c>
    </row>
    <row r="81" spans="1:26" x14ac:dyDescent="0.25">
      <c r="A81" s="4"/>
      <c r="B81" s="4">
        <v>79</v>
      </c>
      <c r="C81" s="4" cm="1">
        <f t="array" ref="C81">INDEX(Sheet1!$B$2:$F$522000,SMALL(IF(Sheet1!$A$2:$A$522000=$A$1,ROW(Sheet1!$B$2:$B$522000)),ROW($A79:$F79))-1,2)</f>
        <v>0</v>
      </c>
      <c r="D81" s="4" cm="1">
        <f t="array" ref="D81">INDEX(Sheet1!$B$2:$F$522000,SMALL(IF(Sheet1!$A$2:$A$522000=$A$1,ROW(Sheet1!$B$2:$B$522000)),ROW($A79:$F79))-1,3)</f>
        <v>0</v>
      </c>
      <c r="E81" s="4" cm="1">
        <f t="array" ref="E81">INDEX(Sheet1!$B$2:$F$522000,SMALL(IF(Sheet1!$A$2:$A$522000=$A$1,ROW(Sheet1!$B$2:$B$522000)),ROW($A79:$F79))-1,4)</f>
        <v>0</v>
      </c>
      <c r="F81" s="4" cm="1">
        <f t="array" ref="F81">INDEX(Sheet1!$B$2:$F$522000,SMALL(IF(Sheet1!$A$2:$A$522000=$A$1,ROW(Sheet1!$B$2:$B$522000)),ROW($A79:$F79))-1,5)</f>
        <v>0</v>
      </c>
      <c r="M81" s="9">
        <v>79</v>
      </c>
      <c r="N81" s="10">
        <f t="shared" si="8"/>
        <v>0</v>
      </c>
      <c r="O81" s="11">
        <f t="shared" si="9"/>
        <v>0</v>
      </c>
      <c r="P81" s="12">
        <f t="shared" si="10"/>
        <v>0</v>
      </c>
      <c r="Q81" s="13">
        <f t="shared" si="11"/>
        <v>0</v>
      </c>
      <c r="V81" s="14">
        <f t="shared" si="7"/>
        <v>0.6171875</v>
      </c>
      <c r="W81" s="10">
        <f t="shared" si="12"/>
        <v>0</v>
      </c>
      <c r="X81" s="11">
        <f t="shared" si="12"/>
        <v>0</v>
      </c>
      <c r="Y81" s="12">
        <f t="shared" si="12"/>
        <v>0</v>
      </c>
      <c r="Z81" s="13">
        <f t="shared" si="12"/>
        <v>0</v>
      </c>
    </row>
    <row r="82" spans="1:26" x14ac:dyDescent="0.25">
      <c r="A82" s="4"/>
      <c r="B82" s="4">
        <v>80</v>
      </c>
      <c r="C82" s="4" cm="1">
        <f t="array" ref="C82">INDEX(Sheet1!$B$2:$F$522000,SMALL(IF(Sheet1!$A$2:$A$522000=$A$1,ROW(Sheet1!$B$2:$B$522000)),ROW($A80:$F80))-1,2)</f>
        <v>0</v>
      </c>
      <c r="D82" s="4" cm="1">
        <f t="array" ref="D82">INDEX(Sheet1!$B$2:$F$522000,SMALL(IF(Sheet1!$A$2:$A$522000=$A$1,ROW(Sheet1!$B$2:$B$522000)),ROW($A80:$F80))-1,3)</f>
        <v>0</v>
      </c>
      <c r="E82" s="4" cm="1">
        <f t="array" ref="E82">INDEX(Sheet1!$B$2:$F$522000,SMALL(IF(Sheet1!$A$2:$A$522000=$A$1,ROW(Sheet1!$B$2:$B$522000)),ROW($A80:$F80))-1,4)</f>
        <v>0</v>
      </c>
      <c r="F82" s="4" cm="1">
        <f t="array" ref="F82">INDEX(Sheet1!$B$2:$F$522000,SMALL(IF(Sheet1!$A$2:$A$522000=$A$1,ROW(Sheet1!$B$2:$B$522000)),ROW($A80:$F80))-1,5)</f>
        <v>0</v>
      </c>
      <c r="M82" s="9">
        <v>80</v>
      </c>
      <c r="N82" s="10">
        <f t="shared" si="8"/>
        <v>0</v>
      </c>
      <c r="O82" s="11">
        <f t="shared" si="9"/>
        <v>0</v>
      </c>
      <c r="P82" s="12">
        <f t="shared" si="10"/>
        <v>0</v>
      </c>
      <c r="Q82" s="13">
        <f t="shared" si="11"/>
        <v>0</v>
      </c>
      <c r="V82" s="14">
        <f t="shared" si="7"/>
        <v>0.625</v>
      </c>
      <c r="W82" s="10">
        <f t="shared" si="12"/>
        <v>0</v>
      </c>
      <c r="X82" s="11">
        <f t="shared" si="12"/>
        <v>0</v>
      </c>
      <c r="Y82" s="12">
        <f t="shared" si="12"/>
        <v>0</v>
      </c>
      <c r="Z82" s="13">
        <f t="shared" si="12"/>
        <v>0</v>
      </c>
    </row>
    <row r="83" spans="1:26" x14ac:dyDescent="0.25">
      <c r="A83" s="4"/>
      <c r="B83" s="4">
        <v>81</v>
      </c>
      <c r="C83" s="4" cm="1">
        <f t="array" ref="C83">INDEX(Sheet1!$B$2:$F$522000,SMALL(IF(Sheet1!$A$2:$A$522000=$A$1,ROW(Sheet1!$B$2:$B$522000)),ROW($A81:$F81))-1,2)</f>
        <v>0</v>
      </c>
      <c r="D83" s="4" cm="1">
        <f t="array" ref="D83">INDEX(Sheet1!$B$2:$F$522000,SMALL(IF(Sheet1!$A$2:$A$522000=$A$1,ROW(Sheet1!$B$2:$B$522000)),ROW($A81:$F81))-1,3)</f>
        <v>0</v>
      </c>
      <c r="E83" s="4" cm="1">
        <f t="array" ref="E83">INDEX(Sheet1!$B$2:$F$522000,SMALL(IF(Sheet1!$A$2:$A$522000=$A$1,ROW(Sheet1!$B$2:$B$522000)),ROW($A81:$F81))-1,4)</f>
        <v>0</v>
      </c>
      <c r="F83" s="4" cm="1">
        <f t="array" ref="F83">INDEX(Sheet1!$B$2:$F$522000,SMALL(IF(Sheet1!$A$2:$A$522000=$A$1,ROW(Sheet1!$B$2:$B$522000)),ROW($A81:$F81))-1,5)</f>
        <v>0</v>
      </c>
      <c r="M83" s="9">
        <v>81</v>
      </c>
      <c r="N83" s="10">
        <f t="shared" si="8"/>
        <v>0</v>
      </c>
      <c r="O83" s="11">
        <f t="shared" si="9"/>
        <v>0</v>
      </c>
      <c r="P83" s="12">
        <f t="shared" si="10"/>
        <v>0</v>
      </c>
      <c r="Q83" s="13">
        <f t="shared" si="11"/>
        <v>0</v>
      </c>
      <c r="V83" s="14">
        <f t="shared" si="7"/>
        <v>0.6328125</v>
      </c>
      <c r="W83" s="10">
        <f t="shared" si="12"/>
        <v>0</v>
      </c>
      <c r="X83" s="11">
        <f t="shared" si="12"/>
        <v>0</v>
      </c>
      <c r="Y83" s="12">
        <f t="shared" si="12"/>
        <v>0</v>
      </c>
      <c r="Z83" s="13">
        <f t="shared" si="12"/>
        <v>0</v>
      </c>
    </row>
    <row r="84" spans="1:26" x14ac:dyDescent="0.25">
      <c r="A84" s="4"/>
      <c r="B84" s="4">
        <v>82</v>
      </c>
      <c r="C84" s="4" cm="1">
        <f t="array" ref="C84">INDEX(Sheet1!$B$2:$F$522000,SMALL(IF(Sheet1!$A$2:$A$522000=$A$1,ROW(Sheet1!$B$2:$B$522000)),ROW($A82:$F82))-1,2)</f>
        <v>0</v>
      </c>
      <c r="D84" s="4" cm="1">
        <f t="array" ref="D84">INDEX(Sheet1!$B$2:$F$522000,SMALL(IF(Sheet1!$A$2:$A$522000=$A$1,ROW(Sheet1!$B$2:$B$522000)),ROW($A82:$F82))-1,3)</f>
        <v>0</v>
      </c>
      <c r="E84" s="4" cm="1">
        <f t="array" ref="E84">INDEX(Sheet1!$B$2:$F$522000,SMALL(IF(Sheet1!$A$2:$A$522000=$A$1,ROW(Sheet1!$B$2:$B$522000)),ROW($A82:$F82))-1,4)</f>
        <v>0</v>
      </c>
      <c r="F84" s="4" cm="1">
        <f t="array" ref="F84">INDEX(Sheet1!$B$2:$F$522000,SMALL(IF(Sheet1!$A$2:$A$522000=$A$1,ROW(Sheet1!$B$2:$B$522000)),ROW($A82:$F82))-1,5)</f>
        <v>0</v>
      </c>
      <c r="M84" s="9">
        <v>82</v>
      </c>
      <c r="N84" s="10">
        <f t="shared" si="8"/>
        <v>0</v>
      </c>
      <c r="O84" s="11">
        <f t="shared" si="9"/>
        <v>0</v>
      </c>
      <c r="P84" s="12">
        <f t="shared" si="10"/>
        <v>0</v>
      </c>
      <c r="Q84" s="13">
        <f t="shared" si="11"/>
        <v>0</v>
      </c>
      <c r="V84" s="14">
        <f t="shared" si="7"/>
        <v>0.640625</v>
      </c>
      <c r="W84" s="10">
        <f t="shared" si="12"/>
        <v>0</v>
      </c>
      <c r="X84" s="11">
        <f t="shared" si="12"/>
        <v>0</v>
      </c>
      <c r="Y84" s="12">
        <f t="shared" si="12"/>
        <v>0</v>
      </c>
      <c r="Z84" s="13">
        <f t="shared" si="12"/>
        <v>0</v>
      </c>
    </row>
    <row r="85" spans="1:26" x14ac:dyDescent="0.25">
      <c r="A85" s="4"/>
      <c r="B85" s="4">
        <v>83</v>
      </c>
      <c r="C85" s="4" cm="1">
        <f t="array" ref="C85">INDEX(Sheet1!$B$2:$F$522000,SMALL(IF(Sheet1!$A$2:$A$522000=$A$1,ROW(Sheet1!$B$2:$B$522000)),ROW($A83:$F83))-1,2)</f>
        <v>0</v>
      </c>
      <c r="D85" s="4" cm="1">
        <f t="array" ref="D85">INDEX(Sheet1!$B$2:$F$522000,SMALL(IF(Sheet1!$A$2:$A$522000=$A$1,ROW(Sheet1!$B$2:$B$522000)),ROW($A83:$F83))-1,3)</f>
        <v>0</v>
      </c>
      <c r="E85" s="4" cm="1">
        <f t="array" ref="E85">INDEX(Sheet1!$B$2:$F$522000,SMALL(IF(Sheet1!$A$2:$A$522000=$A$1,ROW(Sheet1!$B$2:$B$522000)),ROW($A83:$F83))-1,4)</f>
        <v>0</v>
      </c>
      <c r="F85" s="4" cm="1">
        <f t="array" ref="F85">INDEX(Sheet1!$B$2:$F$522000,SMALL(IF(Sheet1!$A$2:$A$522000=$A$1,ROW(Sheet1!$B$2:$B$522000)),ROW($A83:$F83))-1,5)</f>
        <v>0</v>
      </c>
      <c r="M85" s="9">
        <v>83</v>
      </c>
      <c r="N85" s="10">
        <f t="shared" si="8"/>
        <v>0</v>
      </c>
      <c r="O85" s="11">
        <f t="shared" si="9"/>
        <v>0</v>
      </c>
      <c r="P85" s="12">
        <f t="shared" si="10"/>
        <v>0</v>
      </c>
      <c r="Q85" s="13">
        <f t="shared" si="11"/>
        <v>0</v>
      </c>
      <c r="V85" s="14">
        <f t="shared" si="7"/>
        <v>0.6484375</v>
      </c>
      <c r="W85" s="10">
        <f t="shared" si="12"/>
        <v>0</v>
      </c>
      <c r="X85" s="11">
        <f t="shared" si="12"/>
        <v>0</v>
      </c>
      <c r="Y85" s="12">
        <f t="shared" si="12"/>
        <v>0</v>
      </c>
      <c r="Z85" s="13">
        <f t="shared" si="12"/>
        <v>0</v>
      </c>
    </row>
    <row r="86" spans="1:26" x14ac:dyDescent="0.25">
      <c r="A86" s="4"/>
      <c r="B86" s="4">
        <v>84</v>
      </c>
      <c r="C86" s="4" cm="1">
        <f t="array" ref="C86">INDEX(Sheet1!$B$2:$F$522000,SMALL(IF(Sheet1!$A$2:$A$522000=$A$1,ROW(Sheet1!$B$2:$B$522000)),ROW($A84:$F84))-1,2)</f>
        <v>0</v>
      </c>
      <c r="D86" s="4" cm="1">
        <f t="array" ref="D86">INDEX(Sheet1!$B$2:$F$522000,SMALL(IF(Sheet1!$A$2:$A$522000=$A$1,ROW(Sheet1!$B$2:$B$522000)),ROW($A84:$F84))-1,3)</f>
        <v>0</v>
      </c>
      <c r="E86" s="4" cm="1">
        <f t="array" ref="E86">INDEX(Sheet1!$B$2:$F$522000,SMALL(IF(Sheet1!$A$2:$A$522000=$A$1,ROW(Sheet1!$B$2:$B$522000)),ROW($A84:$F84))-1,4)</f>
        <v>0</v>
      </c>
      <c r="F86" s="4" cm="1">
        <f t="array" ref="F86">INDEX(Sheet1!$B$2:$F$522000,SMALL(IF(Sheet1!$A$2:$A$522000=$A$1,ROW(Sheet1!$B$2:$B$522000)),ROW($A84:$F84))-1,5)</f>
        <v>0</v>
      </c>
      <c r="M86" s="9">
        <v>84</v>
      </c>
      <c r="N86" s="10">
        <f t="shared" si="8"/>
        <v>0</v>
      </c>
      <c r="O86" s="11">
        <f t="shared" si="9"/>
        <v>0</v>
      </c>
      <c r="P86" s="12">
        <f t="shared" si="10"/>
        <v>0</v>
      </c>
      <c r="Q86" s="13">
        <f t="shared" si="11"/>
        <v>0</v>
      </c>
      <c r="V86" s="14">
        <f t="shared" si="7"/>
        <v>0.65625</v>
      </c>
      <c r="W86" s="10">
        <f t="shared" si="12"/>
        <v>0</v>
      </c>
      <c r="X86" s="11">
        <f t="shared" si="12"/>
        <v>0</v>
      </c>
      <c r="Y86" s="12">
        <f t="shared" si="12"/>
        <v>0</v>
      </c>
      <c r="Z86" s="13">
        <f t="shared" si="12"/>
        <v>0</v>
      </c>
    </row>
    <row r="87" spans="1:26" x14ac:dyDescent="0.25">
      <c r="A87" s="4"/>
      <c r="B87" s="4">
        <v>85</v>
      </c>
      <c r="C87" s="4" cm="1">
        <f t="array" ref="C87">INDEX(Sheet1!$B$2:$F$522000,SMALL(IF(Sheet1!$A$2:$A$522000=$A$1,ROW(Sheet1!$B$2:$B$522000)),ROW($A85:$F85))-1,2)</f>
        <v>0</v>
      </c>
      <c r="D87" s="4" cm="1">
        <f t="array" ref="D87">INDEX(Sheet1!$B$2:$F$522000,SMALL(IF(Sheet1!$A$2:$A$522000=$A$1,ROW(Sheet1!$B$2:$B$522000)),ROW($A85:$F85))-1,3)</f>
        <v>0</v>
      </c>
      <c r="E87" s="4" cm="1">
        <f t="array" ref="E87">INDEX(Sheet1!$B$2:$F$522000,SMALL(IF(Sheet1!$A$2:$A$522000=$A$1,ROW(Sheet1!$B$2:$B$522000)),ROW($A85:$F85))-1,4)</f>
        <v>0</v>
      </c>
      <c r="F87" s="4" cm="1">
        <f t="array" ref="F87">INDEX(Sheet1!$B$2:$F$522000,SMALL(IF(Sheet1!$A$2:$A$522000=$A$1,ROW(Sheet1!$B$2:$B$522000)),ROW($A85:$F85))-1,5)</f>
        <v>0</v>
      </c>
      <c r="M87" s="9">
        <v>85</v>
      </c>
      <c r="N87" s="10">
        <f t="shared" si="8"/>
        <v>0</v>
      </c>
      <c r="O87" s="11">
        <f t="shared" si="9"/>
        <v>0</v>
      </c>
      <c r="P87" s="12">
        <f t="shared" si="10"/>
        <v>0</v>
      </c>
      <c r="Q87" s="13">
        <f t="shared" si="11"/>
        <v>0</v>
      </c>
      <c r="V87" s="14">
        <f t="shared" si="7"/>
        <v>0.6640625</v>
      </c>
      <c r="W87" s="10">
        <f t="shared" si="12"/>
        <v>0</v>
      </c>
      <c r="X87" s="11">
        <f t="shared" si="12"/>
        <v>0</v>
      </c>
      <c r="Y87" s="12">
        <f t="shared" si="12"/>
        <v>0</v>
      </c>
      <c r="Z87" s="13">
        <f t="shared" si="12"/>
        <v>0</v>
      </c>
    </row>
    <row r="88" spans="1:26" x14ac:dyDescent="0.25">
      <c r="A88" s="4"/>
      <c r="B88" s="4">
        <v>86</v>
      </c>
      <c r="C88" s="4" cm="1">
        <f t="array" ref="C88">INDEX(Sheet1!$B$2:$F$522000,SMALL(IF(Sheet1!$A$2:$A$522000=$A$1,ROW(Sheet1!$B$2:$B$522000)),ROW($A86:$F86))-1,2)</f>
        <v>0</v>
      </c>
      <c r="D88" s="4" cm="1">
        <f t="array" ref="D88">INDEX(Sheet1!$B$2:$F$522000,SMALL(IF(Sheet1!$A$2:$A$522000=$A$1,ROW(Sheet1!$B$2:$B$522000)),ROW($A86:$F86))-1,3)</f>
        <v>0</v>
      </c>
      <c r="E88" s="4" cm="1">
        <f t="array" ref="E88">INDEX(Sheet1!$B$2:$F$522000,SMALL(IF(Sheet1!$A$2:$A$522000=$A$1,ROW(Sheet1!$B$2:$B$522000)),ROW($A86:$F86))-1,4)</f>
        <v>0</v>
      </c>
      <c r="F88" s="4" cm="1">
        <f t="array" ref="F88">INDEX(Sheet1!$B$2:$F$522000,SMALL(IF(Sheet1!$A$2:$A$522000=$A$1,ROW(Sheet1!$B$2:$B$522000)),ROW($A86:$F86))-1,5)</f>
        <v>0</v>
      </c>
      <c r="M88" s="9">
        <v>86</v>
      </c>
      <c r="N88" s="10">
        <f t="shared" si="8"/>
        <v>0</v>
      </c>
      <c r="O88" s="11">
        <f t="shared" si="9"/>
        <v>0</v>
      </c>
      <c r="P88" s="12">
        <f t="shared" si="10"/>
        <v>0</v>
      </c>
      <c r="Q88" s="13">
        <f t="shared" si="11"/>
        <v>0</v>
      </c>
      <c r="V88" s="14">
        <f t="shared" si="7"/>
        <v>0.671875</v>
      </c>
      <c r="W88" s="10">
        <f t="shared" si="12"/>
        <v>0</v>
      </c>
      <c r="X88" s="11">
        <f t="shared" si="12"/>
        <v>0</v>
      </c>
      <c r="Y88" s="12">
        <f t="shared" si="12"/>
        <v>0</v>
      </c>
      <c r="Z88" s="13">
        <f t="shared" si="12"/>
        <v>0</v>
      </c>
    </row>
    <row r="89" spans="1:26" x14ac:dyDescent="0.25">
      <c r="A89" s="4"/>
      <c r="B89" s="4">
        <v>87</v>
      </c>
      <c r="C89" s="4" cm="1">
        <f t="array" ref="C89">INDEX(Sheet1!$B$2:$F$522000,SMALL(IF(Sheet1!$A$2:$A$522000=$A$1,ROW(Sheet1!$B$2:$B$522000)),ROW($A87:$F87))-1,2)</f>
        <v>0</v>
      </c>
      <c r="D89" s="4" cm="1">
        <f t="array" ref="D89">INDEX(Sheet1!$B$2:$F$522000,SMALL(IF(Sheet1!$A$2:$A$522000=$A$1,ROW(Sheet1!$B$2:$B$522000)),ROW($A87:$F87))-1,3)</f>
        <v>0</v>
      </c>
      <c r="E89" s="4" cm="1">
        <f t="array" ref="E89">INDEX(Sheet1!$B$2:$F$522000,SMALL(IF(Sheet1!$A$2:$A$522000=$A$1,ROW(Sheet1!$B$2:$B$522000)),ROW($A87:$F87))-1,4)</f>
        <v>0</v>
      </c>
      <c r="F89" s="4" cm="1">
        <f t="array" ref="F89">INDEX(Sheet1!$B$2:$F$522000,SMALL(IF(Sheet1!$A$2:$A$522000=$A$1,ROW(Sheet1!$B$2:$B$522000)),ROW($A87:$F87))-1,5)</f>
        <v>0</v>
      </c>
      <c r="M89" s="9">
        <v>87</v>
      </c>
      <c r="N89" s="10">
        <f t="shared" si="8"/>
        <v>0</v>
      </c>
      <c r="O89" s="11">
        <f t="shared" si="9"/>
        <v>0</v>
      </c>
      <c r="P89" s="12">
        <f t="shared" si="10"/>
        <v>0</v>
      </c>
      <c r="Q89" s="13">
        <f t="shared" si="11"/>
        <v>0</v>
      </c>
      <c r="V89" s="14">
        <f t="shared" si="7"/>
        <v>0.6796875</v>
      </c>
      <c r="W89" s="10">
        <f t="shared" si="12"/>
        <v>0</v>
      </c>
      <c r="X89" s="11">
        <f t="shared" si="12"/>
        <v>0</v>
      </c>
      <c r="Y89" s="12">
        <f t="shared" si="12"/>
        <v>0</v>
      </c>
      <c r="Z89" s="13">
        <f t="shared" si="12"/>
        <v>0</v>
      </c>
    </row>
    <row r="90" spans="1:26" x14ac:dyDescent="0.25">
      <c r="A90" s="4"/>
      <c r="B90" s="4">
        <v>88</v>
      </c>
      <c r="C90" s="4" cm="1">
        <f t="array" ref="C90">INDEX(Sheet1!$B$2:$F$522000,SMALL(IF(Sheet1!$A$2:$A$522000=$A$1,ROW(Sheet1!$B$2:$B$522000)),ROW($A88:$F88))-1,2)</f>
        <v>0</v>
      </c>
      <c r="D90" s="4" cm="1">
        <f t="array" ref="D90">INDEX(Sheet1!$B$2:$F$522000,SMALL(IF(Sheet1!$A$2:$A$522000=$A$1,ROW(Sheet1!$B$2:$B$522000)),ROW($A88:$F88))-1,3)</f>
        <v>0</v>
      </c>
      <c r="E90" s="4" cm="1">
        <f t="array" ref="E90">INDEX(Sheet1!$B$2:$F$522000,SMALL(IF(Sheet1!$A$2:$A$522000=$A$1,ROW(Sheet1!$B$2:$B$522000)),ROW($A88:$F88))-1,4)</f>
        <v>0</v>
      </c>
      <c r="F90" s="4" cm="1">
        <f t="array" ref="F90">INDEX(Sheet1!$B$2:$F$522000,SMALL(IF(Sheet1!$A$2:$A$522000=$A$1,ROW(Sheet1!$B$2:$B$522000)),ROW($A88:$F88))-1,5)</f>
        <v>0</v>
      </c>
      <c r="M90" s="9">
        <v>88</v>
      </c>
      <c r="N90" s="10">
        <f t="shared" si="8"/>
        <v>0</v>
      </c>
      <c r="O90" s="11">
        <f t="shared" si="9"/>
        <v>0</v>
      </c>
      <c r="P90" s="12">
        <f t="shared" si="10"/>
        <v>0</v>
      </c>
      <c r="Q90" s="13">
        <f t="shared" si="11"/>
        <v>0</v>
      </c>
      <c r="V90" s="14">
        <f t="shared" si="7"/>
        <v>0.6875</v>
      </c>
      <c r="W90" s="10">
        <f t="shared" si="12"/>
        <v>0</v>
      </c>
      <c r="X90" s="11">
        <f t="shared" si="12"/>
        <v>0</v>
      </c>
      <c r="Y90" s="12">
        <f t="shared" si="12"/>
        <v>0</v>
      </c>
      <c r="Z90" s="13">
        <f t="shared" si="12"/>
        <v>0</v>
      </c>
    </row>
    <row r="91" spans="1:26" x14ac:dyDescent="0.25">
      <c r="A91" s="4"/>
      <c r="B91" s="4">
        <v>89</v>
      </c>
      <c r="C91" s="4" cm="1">
        <f t="array" ref="C91">INDEX(Sheet1!$B$2:$F$522000,SMALL(IF(Sheet1!$A$2:$A$522000=$A$1,ROW(Sheet1!$B$2:$B$522000)),ROW($A89:$F89))-1,2)</f>
        <v>0</v>
      </c>
      <c r="D91" s="4" cm="1">
        <f t="array" ref="D91">INDEX(Sheet1!$B$2:$F$522000,SMALL(IF(Sheet1!$A$2:$A$522000=$A$1,ROW(Sheet1!$B$2:$B$522000)),ROW($A89:$F89))-1,3)</f>
        <v>0</v>
      </c>
      <c r="E91" s="4" cm="1">
        <f t="array" ref="E91">INDEX(Sheet1!$B$2:$F$522000,SMALL(IF(Sheet1!$A$2:$A$522000=$A$1,ROW(Sheet1!$B$2:$B$522000)),ROW($A89:$F89))-1,4)</f>
        <v>0</v>
      </c>
      <c r="F91" s="4" cm="1">
        <f t="array" ref="F91">INDEX(Sheet1!$B$2:$F$522000,SMALL(IF(Sheet1!$A$2:$A$522000=$A$1,ROW(Sheet1!$B$2:$B$522000)),ROW($A89:$F89))-1,5)</f>
        <v>0</v>
      </c>
      <c r="M91" s="9">
        <v>89</v>
      </c>
      <c r="N91" s="10">
        <f t="shared" si="8"/>
        <v>0</v>
      </c>
      <c r="O91" s="11">
        <f t="shared" si="9"/>
        <v>0</v>
      </c>
      <c r="P91" s="12">
        <f t="shared" si="10"/>
        <v>0</v>
      </c>
      <c r="Q91" s="13">
        <f t="shared" si="11"/>
        <v>0</v>
      </c>
      <c r="V91" s="14">
        <f t="shared" si="7"/>
        <v>0.6953125</v>
      </c>
      <c r="W91" s="10">
        <f t="shared" si="12"/>
        <v>0</v>
      </c>
      <c r="X91" s="11">
        <f t="shared" si="12"/>
        <v>0</v>
      </c>
      <c r="Y91" s="12">
        <f t="shared" si="12"/>
        <v>0</v>
      </c>
      <c r="Z91" s="13">
        <f t="shared" si="12"/>
        <v>0</v>
      </c>
    </row>
    <row r="92" spans="1:26" x14ac:dyDescent="0.25">
      <c r="A92" s="4"/>
      <c r="B92" s="4">
        <v>90</v>
      </c>
      <c r="C92" s="4" cm="1">
        <f t="array" ref="C92">INDEX(Sheet1!$B$2:$F$522000,SMALL(IF(Sheet1!$A$2:$A$522000=$A$1,ROW(Sheet1!$B$2:$B$522000)),ROW($A90:$F90))-1,2)</f>
        <v>0</v>
      </c>
      <c r="D92" s="4" cm="1">
        <f t="array" ref="D92">INDEX(Sheet1!$B$2:$F$522000,SMALL(IF(Sheet1!$A$2:$A$522000=$A$1,ROW(Sheet1!$B$2:$B$522000)),ROW($A90:$F90))-1,3)</f>
        <v>0</v>
      </c>
      <c r="E92" s="4" cm="1">
        <f t="array" ref="E92">INDEX(Sheet1!$B$2:$F$522000,SMALL(IF(Sheet1!$A$2:$A$522000=$A$1,ROW(Sheet1!$B$2:$B$522000)),ROW($A90:$F90))-1,4)</f>
        <v>0</v>
      </c>
      <c r="F92" s="4" cm="1">
        <f t="array" ref="F92">INDEX(Sheet1!$B$2:$F$522000,SMALL(IF(Sheet1!$A$2:$A$522000=$A$1,ROW(Sheet1!$B$2:$B$522000)),ROW($A90:$F90))-1,5)</f>
        <v>0</v>
      </c>
      <c r="M92" s="9">
        <v>90</v>
      </c>
      <c r="N92" s="10">
        <f t="shared" si="8"/>
        <v>0</v>
      </c>
      <c r="O92" s="11">
        <f t="shared" si="9"/>
        <v>0</v>
      </c>
      <c r="P92" s="12">
        <f t="shared" si="10"/>
        <v>0</v>
      </c>
      <c r="Q92" s="13">
        <f t="shared" si="11"/>
        <v>0</v>
      </c>
      <c r="V92" s="14">
        <f t="shared" si="7"/>
        <v>0.703125</v>
      </c>
      <c r="W92" s="10">
        <f t="shared" si="12"/>
        <v>0</v>
      </c>
      <c r="X92" s="11">
        <f t="shared" si="12"/>
        <v>0</v>
      </c>
      <c r="Y92" s="12">
        <f t="shared" si="12"/>
        <v>0</v>
      </c>
      <c r="Z92" s="13">
        <f t="shared" si="12"/>
        <v>0</v>
      </c>
    </row>
    <row r="93" spans="1:26" x14ac:dyDescent="0.25">
      <c r="A93" s="4"/>
      <c r="B93" s="4">
        <v>91</v>
      </c>
      <c r="C93" s="4" cm="1">
        <f t="array" ref="C93">INDEX(Sheet1!$B$2:$F$522000,SMALL(IF(Sheet1!$A$2:$A$522000=$A$1,ROW(Sheet1!$B$2:$B$522000)),ROW($A91:$F91))-1,2)</f>
        <v>0</v>
      </c>
      <c r="D93" s="4" cm="1">
        <f t="array" ref="D93">INDEX(Sheet1!$B$2:$F$522000,SMALL(IF(Sheet1!$A$2:$A$522000=$A$1,ROW(Sheet1!$B$2:$B$522000)),ROW($A91:$F91))-1,3)</f>
        <v>0</v>
      </c>
      <c r="E93" s="4" cm="1">
        <f t="array" ref="E93">INDEX(Sheet1!$B$2:$F$522000,SMALL(IF(Sheet1!$A$2:$A$522000=$A$1,ROW(Sheet1!$B$2:$B$522000)),ROW($A91:$F91))-1,4)</f>
        <v>0</v>
      </c>
      <c r="F93" s="4" cm="1">
        <f t="array" ref="F93">INDEX(Sheet1!$B$2:$F$522000,SMALL(IF(Sheet1!$A$2:$A$522000=$A$1,ROW(Sheet1!$B$2:$B$522000)),ROW($A91:$F91))-1,5)</f>
        <v>0</v>
      </c>
      <c r="M93" s="9">
        <v>91</v>
      </c>
      <c r="N93" s="10">
        <f t="shared" si="8"/>
        <v>0</v>
      </c>
      <c r="O93" s="11">
        <f t="shared" si="9"/>
        <v>0</v>
      </c>
      <c r="P93" s="12">
        <f t="shared" si="10"/>
        <v>0</v>
      </c>
      <c r="Q93" s="13">
        <f t="shared" si="11"/>
        <v>0</v>
      </c>
      <c r="V93" s="14">
        <f t="shared" si="7"/>
        <v>0.7109375</v>
      </c>
      <c r="W93" s="10">
        <f t="shared" si="12"/>
        <v>0</v>
      </c>
      <c r="X93" s="11">
        <f t="shared" si="12"/>
        <v>0</v>
      </c>
      <c r="Y93" s="12">
        <f t="shared" si="12"/>
        <v>0</v>
      </c>
      <c r="Z93" s="13">
        <f t="shared" si="12"/>
        <v>0</v>
      </c>
    </row>
    <row r="94" spans="1:26" x14ac:dyDescent="0.25">
      <c r="A94" s="4"/>
      <c r="B94" s="4">
        <v>92</v>
      </c>
      <c r="C94" s="4" cm="1">
        <f t="array" ref="C94">INDEX(Sheet1!$B$2:$F$522000,SMALL(IF(Sheet1!$A$2:$A$522000=$A$1,ROW(Sheet1!$B$2:$B$522000)),ROW($A92:$F92))-1,2)</f>
        <v>0</v>
      </c>
      <c r="D94" s="4" cm="1">
        <f t="array" ref="D94">INDEX(Sheet1!$B$2:$F$522000,SMALL(IF(Sheet1!$A$2:$A$522000=$A$1,ROW(Sheet1!$B$2:$B$522000)),ROW($A92:$F92))-1,3)</f>
        <v>0</v>
      </c>
      <c r="E94" s="4" cm="1">
        <f t="array" ref="E94">INDEX(Sheet1!$B$2:$F$522000,SMALL(IF(Sheet1!$A$2:$A$522000=$A$1,ROW(Sheet1!$B$2:$B$522000)),ROW($A92:$F92))-1,4)</f>
        <v>0</v>
      </c>
      <c r="F94" s="4" cm="1">
        <f t="array" ref="F94">INDEX(Sheet1!$B$2:$F$522000,SMALL(IF(Sheet1!$A$2:$A$522000=$A$1,ROW(Sheet1!$B$2:$B$522000)),ROW($A92:$F92))-1,5)</f>
        <v>0</v>
      </c>
      <c r="M94" s="9">
        <v>92</v>
      </c>
      <c r="N94" s="10">
        <f t="shared" si="8"/>
        <v>0</v>
      </c>
      <c r="O94" s="11">
        <f t="shared" si="9"/>
        <v>0</v>
      </c>
      <c r="P94" s="12">
        <f t="shared" si="10"/>
        <v>0</v>
      </c>
      <c r="Q94" s="13">
        <f t="shared" si="11"/>
        <v>0</v>
      </c>
      <c r="V94" s="14">
        <f t="shared" si="7"/>
        <v>0.71875</v>
      </c>
      <c r="W94" s="10">
        <f t="shared" si="12"/>
        <v>0</v>
      </c>
      <c r="X94" s="11">
        <f t="shared" si="12"/>
        <v>0</v>
      </c>
      <c r="Y94" s="12">
        <f t="shared" si="12"/>
        <v>0</v>
      </c>
      <c r="Z94" s="13">
        <f t="shared" si="12"/>
        <v>0</v>
      </c>
    </row>
    <row r="95" spans="1:26" x14ac:dyDescent="0.25">
      <c r="A95" s="4"/>
      <c r="B95" s="4">
        <v>93</v>
      </c>
      <c r="C95" s="4" cm="1">
        <f t="array" ref="C95">INDEX(Sheet1!$B$2:$F$522000,SMALL(IF(Sheet1!$A$2:$A$522000=$A$1,ROW(Sheet1!$B$2:$B$522000)),ROW($A93:$F93))-1,2)</f>
        <v>0</v>
      </c>
      <c r="D95" s="4" cm="1">
        <f t="array" ref="D95">INDEX(Sheet1!$B$2:$F$522000,SMALL(IF(Sheet1!$A$2:$A$522000=$A$1,ROW(Sheet1!$B$2:$B$522000)),ROW($A93:$F93))-1,3)</f>
        <v>0</v>
      </c>
      <c r="E95" s="4" cm="1">
        <f t="array" ref="E95">INDEX(Sheet1!$B$2:$F$522000,SMALL(IF(Sheet1!$A$2:$A$522000=$A$1,ROW(Sheet1!$B$2:$B$522000)),ROW($A93:$F93))-1,4)</f>
        <v>0</v>
      </c>
      <c r="F95" s="4" cm="1">
        <f t="array" ref="F95">INDEX(Sheet1!$B$2:$F$522000,SMALL(IF(Sheet1!$A$2:$A$522000=$A$1,ROW(Sheet1!$B$2:$B$522000)),ROW($A93:$F93))-1,5)</f>
        <v>0</v>
      </c>
      <c r="M95" s="9">
        <v>93</v>
      </c>
      <c r="N95" s="10">
        <f t="shared" si="8"/>
        <v>0</v>
      </c>
      <c r="O95" s="11">
        <f t="shared" si="9"/>
        <v>0</v>
      </c>
      <c r="P95" s="12">
        <f t="shared" si="10"/>
        <v>0</v>
      </c>
      <c r="Q95" s="13">
        <f t="shared" si="11"/>
        <v>0</v>
      </c>
      <c r="V95" s="14">
        <f t="shared" si="7"/>
        <v>0.7265625</v>
      </c>
      <c r="W95" s="10">
        <f t="shared" si="12"/>
        <v>0</v>
      </c>
      <c r="X95" s="11">
        <f t="shared" si="12"/>
        <v>0</v>
      </c>
      <c r="Y95" s="12">
        <f t="shared" si="12"/>
        <v>0</v>
      </c>
      <c r="Z95" s="13">
        <f t="shared" si="12"/>
        <v>0</v>
      </c>
    </row>
    <row r="96" spans="1:26" x14ac:dyDescent="0.25">
      <c r="A96" s="4"/>
      <c r="B96" s="4">
        <v>94</v>
      </c>
      <c r="C96" s="4" cm="1">
        <f t="array" ref="C96">INDEX(Sheet1!$B$2:$F$522000,SMALL(IF(Sheet1!$A$2:$A$522000=$A$1,ROW(Sheet1!$B$2:$B$522000)),ROW($A94:$F94))-1,2)</f>
        <v>0</v>
      </c>
      <c r="D96" s="4" cm="1">
        <f t="array" ref="D96">INDEX(Sheet1!$B$2:$F$522000,SMALL(IF(Sheet1!$A$2:$A$522000=$A$1,ROW(Sheet1!$B$2:$B$522000)),ROW($A94:$F94))-1,3)</f>
        <v>0</v>
      </c>
      <c r="E96" s="4" cm="1">
        <f t="array" ref="E96">INDEX(Sheet1!$B$2:$F$522000,SMALL(IF(Sheet1!$A$2:$A$522000=$A$1,ROW(Sheet1!$B$2:$B$522000)),ROW($A94:$F94))-1,4)</f>
        <v>0</v>
      </c>
      <c r="F96" s="4" cm="1">
        <f t="array" ref="F96">INDEX(Sheet1!$B$2:$F$522000,SMALL(IF(Sheet1!$A$2:$A$522000=$A$1,ROW(Sheet1!$B$2:$B$522000)),ROW($A94:$F94))-1,5)</f>
        <v>0</v>
      </c>
      <c r="M96" s="9">
        <v>94</v>
      </c>
      <c r="N96" s="10">
        <f t="shared" si="8"/>
        <v>0</v>
      </c>
      <c r="O96" s="11">
        <f t="shared" si="9"/>
        <v>0</v>
      </c>
      <c r="P96" s="12">
        <f t="shared" si="10"/>
        <v>0</v>
      </c>
      <c r="Q96" s="13">
        <f t="shared" si="11"/>
        <v>0</v>
      </c>
      <c r="V96" s="14">
        <f t="shared" si="7"/>
        <v>0.734375</v>
      </c>
      <c r="W96" s="10">
        <f t="shared" si="12"/>
        <v>0</v>
      </c>
      <c r="X96" s="11">
        <f t="shared" si="12"/>
        <v>0</v>
      </c>
      <c r="Y96" s="12">
        <f t="shared" si="12"/>
        <v>0</v>
      </c>
      <c r="Z96" s="13">
        <f t="shared" si="12"/>
        <v>0</v>
      </c>
    </row>
    <row r="97" spans="1:26" x14ac:dyDescent="0.25">
      <c r="A97" s="4"/>
      <c r="B97" s="4">
        <v>95</v>
      </c>
      <c r="C97" s="4" cm="1">
        <f t="array" ref="C97">INDEX(Sheet1!$B$2:$F$522000,SMALL(IF(Sheet1!$A$2:$A$522000=$A$1,ROW(Sheet1!$B$2:$B$522000)),ROW($A95:$F95))-1,2)</f>
        <v>0</v>
      </c>
      <c r="D97" s="4" cm="1">
        <f t="array" ref="D97">INDEX(Sheet1!$B$2:$F$522000,SMALL(IF(Sheet1!$A$2:$A$522000=$A$1,ROW(Sheet1!$B$2:$B$522000)),ROW($A95:$F95))-1,3)</f>
        <v>0</v>
      </c>
      <c r="E97" s="4" cm="1">
        <f t="array" ref="E97">INDEX(Sheet1!$B$2:$F$522000,SMALL(IF(Sheet1!$A$2:$A$522000=$A$1,ROW(Sheet1!$B$2:$B$522000)),ROW($A95:$F95))-1,4)</f>
        <v>0</v>
      </c>
      <c r="F97" s="4" cm="1">
        <f t="array" ref="F97">INDEX(Sheet1!$B$2:$F$522000,SMALL(IF(Sheet1!$A$2:$A$522000=$A$1,ROW(Sheet1!$B$2:$B$522000)),ROW($A95:$F95))-1,5)</f>
        <v>0</v>
      </c>
      <c r="M97" s="9">
        <v>95</v>
      </c>
      <c r="N97" s="10">
        <f t="shared" si="8"/>
        <v>0</v>
      </c>
      <c r="O97" s="11">
        <f t="shared" si="9"/>
        <v>0</v>
      </c>
      <c r="P97" s="12">
        <f t="shared" si="10"/>
        <v>0</v>
      </c>
      <c r="Q97" s="13">
        <f t="shared" si="11"/>
        <v>0</v>
      </c>
      <c r="V97" s="14">
        <f t="shared" si="7"/>
        <v>0.7421875</v>
      </c>
      <c r="W97" s="10">
        <f t="shared" si="12"/>
        <v>0</v>
      </c>
      <c r="X97" s="11">
        <f t="shared" si="12"/>
        <v>0</v>
      </c>
      <c r="Y97" s="12">
        <f t="shared" si="12"/>
        <v>0</v>
      </c>
      <c r="Z97" s="13">
        <f t="shared" si="12"/>
        <v>0</v>
      </c>
    </row>
    <row r="98" spans="1:26" x14ac:dyDescent="0.25">
      <c r="A98" s="4"/>
      <c r="B98" s="4">
        <v>96</v>
      </c>
      <c r="C98" s="4" cm="1">
        <f t="array" ref="C98">INDEX(Sheet1!$B$2:$F$522000,SMALL(IF(Sheet1!$A$2:$A$522000=$A$1,ROW(Sheet1!$B$2:$B$522000)),ROW($A96:$F96))-1,2)</f>
        <v>0</v>
      </c>
      <c r="D98" s="4" cm="1">
        <f t="array" ref="D98">INDEX(Sheet1!$B$2:$F$522000,SMALL(IF(Sheet1!$A$2:$A$522000=$A$1,ROW(Sheet1!$B$2:$B$522000)),ROW($A96:$F96))-1,3)</f>
        <v>0</v>
      </c>
      <c r="E98" s="4" cm="1">
        <f t="array" ref="E98">INDEX(Sheet1!$B$2:$F$522000,SMALL(IF(Sheet1!$A$2:$A$522000=$A$1,ROW(Sheet1!$B$2:$B$522000)),ROW($A96:$F96))-1,4)</f>
        <v>0</v>
      </c>
      <c r="F98" s="4" cm="1">
        <f t="array" ref="F98">INDEX(Sheet1!$B$2:$F$522000,SMALL(IF(Sheet1!$A$2:$A$522000=$A$1,ROW(Sheet1!$B$2:$B$522000)),ROW($A96:$F96))-1,5)</f>
        <v>0</v>
      </c>
      <c r="M98" s="9">
        <v>96</v>
      </c>
      <c r="N98" s="10">
        <f t="shared" si="8"/>
        <v>0</v>
      </c>
      <c r="O98" s="11">
        <f t="shared" si="9"/>
        <v>0</v>
      </c>
      <c r="P98" s="12">
        <f t="shared" si="10"/>
        <v>0</v>
      </c>
      <c r="Q98" s="13">
        <f t="shared" si="11"/>
        <v>0</v>
      </c>
      <c r="V98" s="14">
        <f t="shared" si="7"/>
        <v>0.75</v>
      </c>
      <c r="W98" s="10">
        <f t="shared" si="12"/>
        <v>0</v>
      </c>
      <c r="X98" s="11">
        <f t="shared" si="12"/>
        <v>0</v>
      </c>
      <c r="Y98" s="12">
        <f t="shared" si="12"/>
        <v>0</v>
      </c>
      <c r="Z98" s="13">
        <f t="shared" si="12"/>
        <v>0</v>
      </c>
    </row>
    <row r="99" spans="1:26" x14ac:dyDescent="0.25">
      <c r="A99" s="4"/>
      <c r="B99" s="4">
        <v>97</v>
      </c>
      <c r="C99" s="4" cm="1">
        <f t="array" ref="C99">INDEX(Sheet1!$B$2:$F$522000,SMALL(IF(Sheet1!$A$2:$A$522000=$A$1,ROW(Sheet1!$B$2:$B$522000)),ROW($A97:$F97))-1,2)</f>
        <v>0</v>
      </c>
      <c r="D99" s="4" cm="1">
        <f t="array" ref="D99">INDEX(Sheet1!$B$2:$F$522000,SMALL(IF(Sheet1!$A$2:$A$522000=$A$1,ROW(Sheet1!$B$2:$B$522000)),ROW($A97:$F97))-1,3)</f>
        <v>0</v>
      </c>
      <c r="E99" s="4" cm="1">
        <f t="array" ref="E99">INDEX(Sheet1!$B$2:$F$522000,SMALL(IF(Sheet1!$A$2:$A$522000=$A$1,ROW(Sheet1!$B$2:$B$522000)),ROW($A97:$F97))-1,4)</f>
        <v>0</v>
      </c>
      <c r="F99" s="4" cm="1">
        <f t="array" ref="F99">INDEX(Sheet1!$B$2:$F$522000,SMALL(IF(Sheet1!$A$2:$A$522000=$A$1,ROW(Sheet1!$B$2:$B$522000)),ROW($A97:$F97))-1,5)</f>
        <v>0</v>
      </c>
      <c r="M99" s="9">
        <v>97</v>
      </c>
      <c r="N99" s="10">
        <f t="shared" si="8"/>
        <v>0</v>
      </c>
      <c r="O99" s="11">
        <f t="shared" si="9"/>
        <v>0</v>
      </c>
      <c r="P99" s="12">
        <f t="shared" si="10"/>
        <v>0</v>
      </c>
      <c r="Q99" s="13">
        <f t="shared" si="11"/>
        <v>0</v>
      </c>
      <c r="V99" s="14">
        <f t="shared" si="7"/>
        <v>0.7578125</v>
      </c>
      <c r="W99" s="10">
        <f t="shared" si="12"/>
        <v>0</v>
      </c>
      <c r="X99" s="11">
        <f t="shared" si="12"/>
        <v>0</v>
      </c>
      <c r="Y99" s="12">
        <f t="shared" si="12"/>
        <v>0</v>
      </c>
      <c r="Z99" s="13">
        <f t="shared" si="12"/>
        <v>0</v>
      </c>
    </row>
    <row r="100" spans="1:26" x14ac:dyDescent="0.25">
      <c r="B100" s="4"/>
      <c r="C100" s="4"/>
      <c r="D100" s="4"/>
      <c r="E100" s="4"/>
      <c r="F100" s="4"/>
      <c r="M100" s="9">
        <v>98</v>
      </c>
      <c r="N100" s="10">
        <v>0</v>
      </c>
      <c r="O100" s="11">
        <v>0</v>
      </c>
      <c r="P100" s="12">
        <v>0</v>
      </c>
      <c r="Q100" s="13">
        <v>0</v>
      </c>
      <c r="V100" s="14">
        <f t="shared" si="7"/>
        <v>0.765625</v>
      </c>
      <c r="W100" s="10">
        <f t="shared" si="12"/>
        <v>0</v>
      </c>
      <c r="X100" s="11">
        <f t="shared" si="12"/>
        <v>0</v>
      </c>
      <c r="Y100" s="12">
        <f t="shared" si="12"/>
        <v>0</v>
      </c>
      <c r="Z100" s="13">
        <f t="shared" si="12"/>
        <v>0</v>
      </c>
    </row>
    <row r="101" spans="1:26" x14ac:dyDescent="0.25">
      <c r="B101" s="4"/>
      <c r="C101" s="4"/>
      <c r="D101" s="4"/>
      <c r="E101" s="4"/>
      <c r="F101" s="4"/>
      <c r="M101" s="9">
        <v>99</v>
      </c>
      <c r="N101" s="10">
        <v>0</v>
      </c>
      <c r="O101" s="11">
        <v>0</v>
      </c>
      <c r="P101" s="12">
        <v>0</v>
      </c>
      <c r="Q101" s="13">
        <v>0</v>
      </c>
      <c r="V101" s="14">
        <f t="shared" si="7"/>
        <v>0.7734375</v>
      </c>
      <c r="W101" s="10">
        <f t="shared" si="12"/>
        <v>0</v>
      </c>
      <c r="X101" s="11">
        <f t="shared" si="12"/>
        <v>0</v>
      </c>
      <c r="Y101" s="12">
        <f t="shared" si="12"/>
        <v>0</v>
      </c>
      <c r="Z101" s="13">
        <f t="shared" si="12"/>
        <v>0</v>
      </c>
    </row>
    <row r="102" spans="1:26" x14ac:dyDescent="0.25">
      <c r="B102" s="4"/>
      <c r="C102" s="4"/>
      <c r="D102" s="4"/>
      <c r="E102" s="4"/>
      <c r="F102" s="4"/>
      <c r="M102" s="9">
        <v>100</v>
      </c>
      <c r="N102" s="10">
        <v>0</v>
      </c>
      <c r="O102" s="11">
        <v>0</v>
      </c>
      <c r="P102" s="12">
        <v>0</v>
      </c>
      <c r="Q102" s="13">
        <v>0</v>
      </c>
      <c r="V102" s="14">
        <f t="shared" si="7"/>
        <v>0.78125</v>
      </c>
      <c r="W102" s="10">
        <f t="shared" si="12"/>
        <v>0</v>
      </c>
      <c r="X102" s="11">
        <f t="shared" si="12"/>
        <v>0</v>
      </c>
      <c r="Y102" s="12">
        <f t="shared" si="12"/>
        <v>0</v>
      </c>
      <c r="Z102" s="13">
        <f t="shared" si="12"/>
        <v>0</v>
      </c>
    </row>
    <row r="103" spans="1:26" x14ac:dyDescent="0.25">
      <c r="B103" s="4"/>
      <c r="C103" s="4"/>
      <c r="D103" s="4"/>
      <c r="E103" s="4"/>
      <c r="F103" s="4"/>
      <c r="M103" s="9">
        <v>101</v>
      </c>
      <c r="N103" s="10">
        <v>0</v>
      </c>
      <c r="O103" s="11">
        <v>0</v>
      </c>
      <c r="P103" s="12">
        <v>0</v>
      </c>
      <c r="Q103" s="13">
        <v>0</v>
      </c>
      <c r="V103" s="14">
        <f t="shared" si="7"/>
        <v>0.7890625</v>
      </c>
      <c r="W103" s="10">
        <f t="shared" si="12"/>
        <v>0</v>
      </c>
      <c r="X103" s="11">
        <f t="shared" si="12"/>
        <v>0</v>
      </c>
      <c r="Y103" s="12">
        <f t="shared" si="12"/>
        <v>0</v>
      </c>
      <c r="Z103" s="13">
        <f t="shared" si="12"/>
        <v>0</v>
      </c>
    </row>
    <row r="104" spans="1:26" x14ac:dyDescent="0.25">
      <c r="B104" s="4"/>
      <c r="C104" s="4"/>
      <c r="D104" s="4"/>
      <c r="E104" s="4"/>
      <c r="F104" s="4"/>
      <c r="M104" s="9">
        <v>102</v>
      </c>
      <c r="N104" s="10">
        <v>0</v>
      </c>
      <c r="O104" s="11">
        <v>0</v>
      </c>
      <c r="P104" s="12">
        <v>0</v>
      </c>
      <c r="Q104" s="13">
        <v>0</v>
      </c>
      <c r="V104" s="14">
        <f t="shared" si="7"/>
        <v>0.796875</v>
      </c>
      <c r="W104" s="10">
        <f t="shared" si="12"/>
        <v>0</v>
      </c>
      <c r="X104" s="11">
        <f t="shared" si="12"/>
        <v>0</v>
      </c>
      <c r="Y104" s="12">
        <f t="shared" si="12"/>
        <v>0</v>
      </c>
      <c r="Z104" s="13">
        <f t="shared" si="12"/>
        <v>0</v>
      </c>
    </row>
    <row r="105" spans="1:26" x14ac:dyDescent="0.25">
      <c r="B105" s="4"/>
      <c r="C105" s="4"/>
      <c r="D105" s="4"/>
      <c r="E105" s="4"/>
      <c r="F105" s="4"/>
      <c r="M105" s="9">
        <v>103</v>
      </c>
      <c r="N105" s="10">
        <v>0</v>
      </c>
      <c r="O105" s="11">
        <v>0</v>
      </c>
      <c r="P105" s="12">
        <v>0</v>
      </c>
      <c r="Q105" s="13">
        <v>0</v>
      </c>
      <c r="V105" s="14">
        <f t="shared" si="7"/>
        <v>0.8046875</v>
      </c>
      <c r="W105" s="10">
        <f t="shared" si="12"/>
        <v>0</v>
      </c>
      <c r="X105" s="11">
        <f t="shared" si="12"/>
        <v>0</v>
      </c>
      <c r="Y105" s="12">
        <f t="shared" si="12"/>
        <v>0</v>
      </c>
      <c r="Z105" s="13">
        <f t="shared" si="12"/>
        <v>0</v>
      </c>
    </row>
    <row r="106" spans="1:26" x14ac:dyDescent="0.25">
      <c r="B106" s="4"/>
      <c r="C106" s="4"/>
      <c r="D106" s="4"/>
      <c r="E106" s="4"/>
      <c r="F106" s="4"/>
      <c r="M106" s="9">
        <v>104</v>
      </c>
      <c r="N106" s="10">
        <v>0</v>
      </c>
      <c r="O106" s="11">
        <v>0</v>
      </c>
      <c r="P106" s="12">
        <v>0</v>
      </c>
      <c r="Q106" s="13">
        <v>0</v>
      </c>
      <c r="V106" s="14">
        <f t="shared" si="7"/>
        <v>0.8125</v>
      </c>
      <c r="W106" s="10">
        <f t="shared" si="12"/>
        <v>0</v>
      </c>
      <c r="X106" s="11">
        <f t="shared" si="12"/>
        <v>0</v>
      </c>
      <c r="Y106" s="12">
        <f t="shared" si="12"/>
        <v>0</v>
      </c>
      <c r="Z106" s="13">
        <f t="shared" si="12"/>
        <v>0</v>
      </c>
    </row>
    <row r="107" spans="1:26" x14ac:dyDescent="0.25">
      <c r="B107" s="4"/>
      <c r="C107" s="4"/>
      <c r="D107" s="4"/>
      <c r="E107" s="4"/>
      <c r="F107" s="4"/>
      <c r="M107" s="9">
        <v>105</v>
      </c>
      <c r="N107" s="10">
        <v>0</v>
      </c>
      <c r="O107" s="11">
        <v>0</v>
      </c>
      <c r="P107" s="12">
        <v>0</v>
      </c>
      <c r="Q107" s="13">
        <v>0</v>
      </c>
      <c r="V107" s="14">
        <f t="shared" si="7"/>
        <v>0.8203125</v>
      </c>
      <c r="W107" s="10">
        <f t="shared" si="12"/>
        <v>0</v>
      </c>
      <c r="X107" s="11">
        <f t="shared" si="12"/>
        <v>0</v>
      </c>
      <c r="Y107" s="12">
        <f t="shared" si="12"/>
        <v>0</v>
      </c>
      <c r="Z107" s="13">
        <f t="shared" si="12"/>
        <v>0</v>
      </c>
    </row>
    <row r="108" spans="1:26" x14ac:dyDescent="0.25">
      <c r="B108" s="4"/>
      <c r="C108" s="4"/>
      <c r="D108" s="4"/>
      <c r="E108" s="4"/>
      <c r="F108" s="4"/>
      <c r="M108" s="9">
        <v>106</v>
      </c>
      <c r="N108" s="10">
        <v>0</v>
      </c>
      <c r="O108" s="11">
        <v>0</v>
      </c>
      <c r="P108" s="12">
        <v>0</v>
      </c>
      <c r="Q108" s="13">
        <v>0</v>
      </c>
      <c r="V108" s="14">
        <f t="shared" si="7"/>
        <v>0.828125</v>
      </c>
      <c r="W108" s="10">
        <f t="shared" si="12"/>
        <v>0</v>
      </c>
      <c r="X108" s="11">
        <f t="shared" si="12"/>
        <v>0</v>
      </c>
      <c r="Y108" s="12">
        <f t="shared" si="12"/>
        <v>0</v>
      </c>
      <c r="Z108" s="13">
        <f t="shared" si="12"/>
        <v>0</v>
      </c>
    </row>
    <row r="109" spans="1:26" x14ac:dyDescent="0.25">
      <c r="B109" s="4"/>
      <c r="C109" s="4"/>
      <c r="D109" s="4"/>
      <c r="E109" s="4"/>
      <c r="F109" s="4"/>
      <c r="M109" s="9">
        <v>107</v>
      </c>
      <c r="N109" s="10">
        <v>0</v>
      </c>
      <c r="O109" s="11">
        <v>0</v>
      </c>
      <c r="P109" s="12">
        <v>0</v>
      </c>
      <c r="Q109" s="13">
        <v>0</v>
      </c>
      <c r="V109" s="14">
        <f t="shared" si="7"/>
        <v>0.8359375</v>
      </c>
      <c r="W109" s="10">
        <f t="shared" si="12"/>
        <v>0</v>
      </c>
      <c r="X109" s="11">
        <f t="shared" si="12"/>
        <v>0</v>
      </c>
      <c r="Y109" s="12">
        <f t="shared" si="12"/>
        <v>0</v>
      </c>
      <c r="Z109" s="13">
        <f t="shared" si="12"/>
        <v>0</v>
      </c>
    </row>
    <row r="110" spans="1:26" x14ac:dyDescent="0.25">
      <c r="B110" s="4"/>
      <c r="C110" s="4"/>
      <c r="D110" s="4"/>
      <c r="E110" s="4"/>
      <c r="F110" s="4"/>
      <c r="M110" s="9">
        <v>108</v>
      </c>
      <c r="N110" s="10">
        <v>0</v>
      </c>
      <c r="O110" s="11">
        <v>0</v>
      </c>
      <c r="P110" s="12">
        <v>0</v>
      </c>
      <c r="Q110" s="13">
        <v>0</v>
      </c>
      <c r="V110" s="14">
        <f t="shared" si="7"/>
        <v>0.84375</v>
      </c>
      <c r="W110" s="10">
        <f t="shared" si="12"/>
        <v>0</v>
      </c>
      <c r="X110" s="11">
        <f t="shared" si="12"/>
        <v>0</v>
      </c>
      <c r="Y110" s="12">
        <f t="shared" si="12"/>
        <v>0</v>
      </c>
      <c r="Z110" s="13">
        <f t="shared" si="12"/>
        <v>0</v>
      </c>
    </row>
    <row r="111" spans="1:26" x14ac:dyDescent="0.25">
      <c r="B111" s="4"/>
      <c r="C111" s="4"/>
      <c r="D111" s="4"/>
      <c r="E111" s="4"/>
      <c r="F111" s="4"/>
      <c r="M111" s="9">
        <v>109</v>
      </c>
      <c r="N111" s="10">
        <v>0</v>
      </c>
      <c r="O111" s="11">
        <v>0</v>
      </c>
      <c r="P111" s="12">
        <v>0</v>
      </c>
      <c r="Q111" s="13">
        <v>0</v>
      </c>
      <c r="V111" s="14">
        <f t="shared" si="7"/>
        <v>0.8515625</v>
      </c>
      <c r="W111" s="10">
        <f t="shared" si="12"/>
        <v>0</v>
      </c>
      <c r="X111" s="11">
        <f t="shared" si="12"/>
        <v>0</v>
      </c>
      <c r="Y111" s="12">
        <f t="shared" si="12"/>
        <v>0</v>
      </c>
      <c r="Z111" s="13">
        <f t="shared" si="12"/>
        <v>0</v>
      </c>
    </row>
    <row r="112" spans="1:26" x14ac:dyDescent="0.25">
      <c r="B112" s="4"/>
      <c r="C112" s="4"/>
      <c r="D112" s="4"/>
      <c r="E112" s="4"/>
      <c r="F112" s="4"/>
      <c r="M112" s="9">
        <v>110</v>
      </c>
      <c r="N112" s="10">
        <v>0</v>
      </c>
      <c r="O112" s="11">
        <v>0</v>
      </c>
      <c r="P112" s="12">
        <v>0</v>
      </c>
      <c r="Q112" s="13">
        <v>0</v>
      </c>
      <c r="V112" s="14">
        <f t="shared" si="7"/>
        <v>0.859375</v>
      </c>
      <c r="W112" s="10">
        <f t="shared" si="12"/>
        <v>0</v>
      </c>
      <c r="X112" s="11">
        <f t="shared" si="12"/>
        <v>0</v>
      </c>
      <c r="Y112" s="12">
        <f t="shared" si="12"/>
        <v>0</v>
      </c>
      <c r="Z112" s="13">
        <f t="shared" si="12"/>
        <v>0</v>
      </c>
    </row>
    <row r="113" spans="2:26" x14ac:dyDescent="0.25">
      <c r="B113" s="4"/>
      <c r="C113" s="4"/>
      <c r="D113" s="4"/>
      <c r="E113" s="4"/>
      <c r="F113" s="4"/>
      <c r="M113" s="9">
        <v>111</v>
      </c>
      <c r="N113" s="10">
        <v>0</v>
      </c>
      <c r="O113" s="11">
        <v>0</v>
      </c>
      <c r="P113" s="12">
        <v>0</v>
      </c>
      <c r="Q113" s="13">
        <v>0</v>
      </c>
      <c r="V113" s="14">
        <f t="shared" si="7"/>
        <v>0.8671875</v>
      </c>
      <c r="W113" s="10">
        <f t="shared" si="12"/>
        <v>0</v>
      </c>
      <c r="X113" s="11">
        <f t="shared" si="12"/>
        <v>0</v>
      </c>
      <c r="Y113" s="12">
        <f t="shared" si="12"/>
        <v>0</v>
      </c>
      <c r="Z113" s="13">
        <f t="shared" si="12"/>
        <v>0</v>
      </c>
    </row>
    <row r="114" spans="2:26" x14ac:dyDescent="0.25">
      <c r="B114" s="4"/>
      <c r="C114" s="4"/>
      <c r="D114" s="4"/>
      <c r="E114" s="4"/>
      <c r="F114" s="4"/>
      <c r="M114" s="9">
        <v>112</v>
      </c>
      <c r="N114" s="10">
        <v>0</v>
      </c>
      <c r="O114" s="11">
        <v>0</v>
      </c>
      <c r="P114" s="12">
        <v>0</v>
      </c>
      <c r="Q114" s="13">
        <v>0</v>
      </c>
      <c r="V114" s="14">
        <f t="shared" si="7"/>
        <v>0.875</v>
      </c>
      <c r="W114" s="10">
        <f t="shared" si="12"/>
        <v>0</v>
      </c>
      <c r="X114" s="11">
        <f t="shared" si="12"/>
        <v>0</v>
      </c>
      <c r="Y114" s="12">
        <f t="shared" si="12"/>
        <v>0</v>
      </c>
      <c r="Z114" s="13">
        <f t="shared" si="12"/>
        <v>0</v>
      </c>
    </row>
    <row r="115" spans="2:26" x14ac:dyDescent="0.25">
      <c r="B115" s="4"/>
      <c r="C115" s="4"/>
      <c r="D115" s="4"/>
      <c r="E115" s="4"/>
      <c r="F115" s="4"/>
      <c r="M115" s="9">
        <v>113</v>
      </c>
      <c r="N115" s="10">
        <v>0</v>
      </c>
      <c r="O115" s="11">
        <v>0</v>
      </c>
      <c r="P115" s="12">
        <v>0</v>
      </c>
      <c r="Q115" s="13">
        <v>0</v>
      </c>
      <c r="V115" s="14">
        <f t="shared" si="7"/>
        <v>0.8828125</v>
      </c>
      <c r="W115" s="10">
        <f t="shared" si="12"/>
        <v>0</v>
      </c>
      <c r="X115" s="11">
        <f t="shared" si="12"/>
        <v>0</v>
      </c>
      <c r="Y115" s="12">
        <f t="shared" si="12"/>
        <v>0</v>
      </c>
      <c r="Z115" s="13">
        <f t="shared" si="12"/>
        <v>0</v>
      </c>
    </row>
    <row r="116" spans="2:26" x14ac:dyDescent="0.25">
      <c r="B116" s="4"/>
      <c r="C116" s="4"/>
      <c r="D116" s="4"/>
      <c r="E116" s="4"/>
      <c r="F116" s="4"/>
      <c r="M116" s="9">
        <v>114</v>
      </c>
      <c r="N116" s="10">
        <v>0</v>
      </c>
      <c r="O116" s="11">
        <v>0</v>
      </c>
      <c r="P116" s="12">
        <v>0</v>
      </c>
      <c r="Q116" s="13">
        <v>0</v>
      </c>
      <c r="V116" s="14">
        <f t="shared" si="7"/>
        <v>0.890625</v>
      </c>
      <c r="W116" s="10">
        <f t="shared" si="12"/>
        <v>0</v>
      </c>
      <c r="X116" s="11">
        <f t="shared" si="12"/>
        <v>0</v>
      </c>
      <c r="Y116" s="12">
        <f t="shared" si="12"/>
        <v>0</v>
      </c>
      <c r="Z116" s="13">
        <f t="shared" si="12"/>
        <v>0</v>
      </c>
    </row>
    <row r="117" spans="2:26" x14ac:dyDescent="0.25">
      <c r="B117" s="4"/>
      <c r="C117" s="4"/>
      <c r="D117" s="4"/>
      <c r="E117" s="4"/>
      <c r="F117" s="4"/>
      <c r="M117" s="9">
        <v>115</v>
      </c>
      <c r="N117" s="10">
        <v>0</v>
      </c>
      <c r="O117" s="11">
        <v>0</v>
      </c>
      <c r="P117" s="12">
        <v>0</v>
      </c>
      <c r="Q117" s="13">
        <v>0</v>
      </c>
      <c r="V117" s="14">
        <f t="shared" si="7"/>
        <v>0.8984375</v>
      </c>
      <c r="W117" s="10">
        <f t="shared" si="12"/>
        <v>0</v>
      </c>
      <c r="X117" s="11">
        <f t="shared" si="12"/>
        <v>0</v>
      </c>
      <c r="Y117" s="12">
        <f t="shared" si="12"/>
        <v>0</v>
      </c>
      <c r="Z117" s="13">
        <f t="shared" si="12"/>
        <v>0</v>
      </c>
    </row>
    <row r="118" spans="2:26" x14ac:dyDescent="0.25">
      <c r="B118" s="4"/>
      <c r="C118" s="4"/>
      <c r="D118" s="4"/>
      <c r="E118" s="4"/>
      <c r="F118" s="4"/>
      <c r="M118" s="9">
        <v>116</v>
      </c>
      <c r="N118" s="10">
        <v>0</v>
      </c>
      <c r="O118" s="11">
        <v>0</v>
      </c>
      <c r="P118" s="12">
        <v>0</v>
      </c>
      <c r="Q118" s="13">
        <v>0</v>
      </c>
      <c r="V118" s="14">
        <f t="shared" si="7"/>
        <v>0.90625</v>
      </c>
      <c r="W118" s="10">
        <f t="shared" si="12"/>
        <v>0</v>
      </c>
      <c r="X118" s="11">
        <f t="shared" si="12"/>
        <v>0</v>
      </c>
      <c r="Y118" s="12">
        <f t="shared" si="12"/>
        <v>0</v>
      </c>
      <c r="Z118" s="13">
        <f t="shared" si="12"/>
        <v>0</v>
      </c>
    </row>
    <row r="119" spans="2:26" x14ac:dyDescent="0.25">
      <c r="B119" s="4"/>
      <c r="C119" s="4"/>
      <c r="D119" s="4"/>
      <c r="E119" s="4"/>
      <c r="F119" s="4"/>
      <c r="M119" s="9">
        <v>117</v>
      </c>
      <c r="N119" s="10">
        <v>0</v>
      </c>
      <c r="O119" s="11">
        <v>0</v>
      </c>
      <c r="P119" s="12">
        <v>0</v>
      </c>
      <c r="Q119" s="13">
        <v>0</v>
      </c>
      <c r="V119" s="14">
        <f t="shared" si="7"/>
        <v>0.9140625</v>
      </c>
      <c r="W119" s="10">
        <f t="shared" si="12"/>
        <v>0</v>
      </c>
      <c r="X119" s="11">
        <f t="shared" si="12"/>
        <v>0</v>
      </c>
      <c r="Y119" s="12">
        <f t="shared" si="12"/>
        <v>0</v>
      </c>
      <c r="Z119" s="13">
        <f t="shared" si="12"/>
        <v>0</v>
      </c>
    </row>
    <row r="120" spans="2:26" x14ac:dyDescent="0.25">
      <c r="B120" s="4"/>
      <c r="C120" s="4"/>
      <c r="D120" s="4"/>
      <c r="E120" s="4"/>
      <c r="F120" s="4"/>
      <c r="M120" s="9">
        <v>118</v>
      </c>
      <c r="N120" s="10">
        <v>0</v>
      </c>
      <c r="O120" s="11">
        <v>0</v>
      </c>
      <c r="P120" s="12">
        <v>0</v>
      </c>
      <c r="Q120" s="13">
        <v>0</v>
      </c>
      <c r="V120" s="14">
        <f t="shared" si="7"/>
        <v>0.921875</v>
      </c>
      <c r="W120" s="10">
        <f t="shared" si="12"/>
        <v>0</v>
      </c>
      <c r="X120" s="11">
        <f t="shared" si="12"/>
        <v>0</v>
      </c>
      <c r="Y120" s="12">
        <f t="shared" si="12"/>
        <v>0</v>
      </c>
      <c r="Z120" s="13">
        <f t="shared" si="12"/>
        <v>0</v>
      </c>
    </row>
    <row r="121" spans="2:26" x14ac:dyDescent="0.25">
      <c r="B121" s="4"/>
      <c r="C121" s="4"/>
      <c r="D121" s="4"/>
      <c r="E121" s="4"/>
      <c r="F121" s="4"/>
      <c r="M121" s="9">
        <v>119</v>
      </c>
      <c r="N121" s="10">
        <v>0</v>
      </c>
      <c r="O121" s="11">
        <v>0</v>
      </c>
      <c r="P121" s="12">
        <v>0</v>
      </c>
      <c r="Q121" s="13">
        <v>0</v>
      </c>
      <c r="V121" s="14">
        <f t="shared" si="7"/>
        <v>0.9296875</v>
      </c>
      <c r="W121" s="10">
        <f t="shared" si="12"/>
        <v>0</v>
      </c>
      <c r="X121" s="11">
        <f t="shared" si="12"/>
        <v>0</v>
      </c>
      <c r="Y121" s="12">
        <f t="shared" si="12"/>
        <v>0</v>
      </c>
      <c r="Z121" s="13">
        <f t="shared" si="12"/>
        <v>0</v>
      </c>
    </row>
    <row r="122" spans="2:26" x14ac:dyDescent="0.25">
      <c r="B122" s="4"/>
      <c r="C122" s="4"/>
      <c r="D122" s="4"/>
      <c r="E122" s="4"/>
      <c r="F122" s="4"/>
      <c r="M122" s="9">
        <v>120</v>
      </c>
      <c r="N122" s="10">
        <v>0</v>
      </c>
      <c r="O122" s="11">
        <v>0</v>
      </c>
      <c r="P122" s="12">
        <v>0</v>
      </c>
      <c r="Q122" s="13">
        <v>0</v>
      </c>
      <c r="V122" s="14">
        <f t="shared" si="7"/>
        <v>0.9375</v>
      </c>
      <c r="W122" s="10">
        <f t="shared" si="12"/>
        <v>0</v>
      </c>
      <c r="X122" s="11">
        <f t="shared" si="12"/>
        <v>0</v>
      </c>
      <c r="Y122" s="12">
        <f t="shared" si="12"/>
        <v>0</v>
      </c>
      <c r="Z122" s="13">
        <f t="shared" si="12"/>
        <v>0</v>
      </c>
    </row>
    <row r="123" spans="2:26" x14ac:dyDescent="0.25">
      <c r="B123" s="4"/>
      <c r="C123" s="4"/>
      <c r="D123" s="4"/>
      <c r="E123" s="4"/>
      <c r="F123" s="4"/>
      <c r="M123" s="9">
        <v>121</v>
      </c>
      <c r="N123" s="10">
        <v>0</v>
      </c>
      <c r="O123" s="11">
        <v>0</v>
      </c>
      <c r="P123" s="12">
        <v>0</v>
      </c>
      <c r="Q123" s="13">
        <v>0</v>
      </c>
      <c r="V123" s="14">
        <f t="shared" si="7"/>
        <v>0.9453125</v>
      </c>
      <c r="W123" s="10">
        <f t="shared" si="12"/>
        <v>0</v>
      </c>
      <c r="X123" s="11">
        <f t="shared" si="12"/>
        <v>0</v>
      </c>
      <c r="Y123" s="12">
        <f t="shared" si="12"/>
        <v>0</v>
      </c>
      <c r="Z123" s="13">
        <f t="shared" si="12"/>
        <v>0</v>
      </c>
    </row>
    <row r="124" spans="2:26" x14ac:dyDescent="0.25">
      <c r="B124" s="4"/>
      <c r="C124" s="4"/>
      <c r="D124" s="4"/>
      <c r="E124" s="4"/>
      <c r="F124" s="4"/>
      <c r="M124" s="9">
        <v>122</v>
      </c>
      <c r="N124" s="10">
        <v>0</v>
      </c>
      <c r="O124" s="11">
        <v>0</v>
      </c>
      <c r="P124" s="12">
        <v>0</v>
      </c>
      <c r="Q124" s="13">
        <v>0</v>
      </c>
      <c r="V124" s="14">
        <f t="shared" si="7"/>
        <v>0.953125</v>
      </c>
      <c r="W124" s="10">
        <f t="shared" si="12"/>
        <v>0</v>
      </c>
      <c r="X124" s="11">
        <f t="shared" si="12"/>
        <v>0</v>
      </c>
      <c r="Y124" s="12">
        <f t="shared" si="12"/>
        <v>0</v>
      </c>
      <c r="Z124" s="13">
        <f t="shared" si="12"/>
        <v>0</v>
      </c>
    </row>
    <row r="125" spans="2:26" x14ac:dyDescent="0.25">
      <c r="B125" s="4"/>
      <c r="C125" s="4"/>
      <c r="D125" s="4"/>
      <c r="E125" s="4"/>
      <c r="F125" s="4"/>
      <c r="M125" s="9">
        <v>123</v>
      </c>
      <c r="N125" s="10">
        <v>0</v>
      </c>
      <c r="O125" s="11">
        <v>0</v>
      </c>
      <c r="P125" s="12">
        <v>0</v>
      </c>
      <c r="Q125" s="13">
        <v>0</v>
      </c>
      <c r="V125" s="14">
        <f t="shared" si="7"/>
        <v>0.9609375</v>
      </c>
      <c r="W125" s="10">
        <f t="shared" si="12"/>
        <v>0</v>
      </c>
      <c r="X125" s="11">
        <f t="shared" si="12"/>
        <v>0</v>
      </c>
      <c r="Y125" s="12">
        <f t="shared" si="12"/>
        <v>0</v>
      </c>
      <c r="Z125" s="13">
        <f t="shared" si="12"/>
        <v>0</v>
      </c>
    </row>
    <row r="126" spans="2:26" x14ac:dyDescent="0.25">
      <c r="B126" s="4"/>
      <c r="C126" s="4"/>
      <c r="D126" s="4"/>
      <c r="E126" s="4"/>
      <c r="F126" s="4"/>
      <c r="M126" s="9">
        <v>124</v>
      </c>
      <c r="N126" s="10">
        <v>0</v>
      </c>
      <c r="O126" s="11">
        <v>0</v>
      </c>
      <c r="P126" s="12">
        <v>0</v>
      </c>
      <c r="Q126" s="13">
        <v>0</v>
      </c>
      <c r="V126" s="14">
        <f t="shared" si="7"/>
        <v>0.96875</v>
      </c>
      <c r="W126" s="10">
        <f t="shared" si="12"/>
        <v>0</v>
      </c>
      <c r="X126" s="11">
        <f t="shared" si="12"/>
        <v>0</v>
      </c>
      <c r="Y126" s="12">
        <f t="shared" si="12"/>
        <v>0</v>
      </c>
      <c r="Z126" s="13">
        <f t="shared" si="12"/>
        <v>0</v>
      </c>
    </row>
    <row r="127" spans="2:26" x14ac:dyDescent="0.25">
      <c r="B127" s="4"/>
      <c r="C127" s="4"/>
      <c r="D127" s="4"/>
      <c r="E127" s="4"/>
      <c r="F127" s="4"/>
      <c r="M127" s="9">
        <v>125</v>
      </c>
      <c r="N127" s="10">
        <v>0</v>
      </c>
      <c r="O127" s="11">
        <v>0</v>
      </c>
      <c r="P127" s="12">
        <v>0</v>
      </c>
      <c r="Q127" s="13">
        <v>0</v>
      </c>
      <c r="V127" s="14">
        <f t="shared" si="7"/>
        <v>0.9765625</v>
      </c>
      <c r="W127" s="10">
        <f t="shared" si="12"/>
        <v>0</v>
      </c>
      <c r="X127" s="11">
        <f t="shared" si="12"/>
        <v>0</v>
      </c>
      <c r="Y127" s="12">
        <f t="shared" si="12"/>
        <v>0</v>
      </c>
      <c r="Z127" s="13">
        <f t="shared" si="12"/>
        <v>0</v>
      </c>
    </row>
    <row r="128" spans="2:26" x14ac:dyDescent="0.25">
      <c r="B128" s="4"/>
      <c r="C128" s="4"/>
      <c r="D128" s="4"/>
      <c r="E128" s="4"/>
      <c r="F128" s="4"/>
      <c r="M128" s="9">
        <v>126</v>
      </c>
      <c r="N128" s="10">
        <v>0</v>
      </c>
      <c r="O128" s="11">
        <v>0</v>
      </c>
      <c r="P128" s="12">
        <v>0</v>
      </c>
      <c r="Q128" s="13">
        <v>0</v>
      </c>
      <c r="V128" s="14">
        <f t="shared" si="7"/>
        <v>0.984375</v>
      </c>
      <c r="W128" s="10">
        <f t="shared" si="12"/>
        <v>0</v>
      </c>
      <c r="X128" s="11">
        <f t="shared" si="12"/>
        <v>0</v>
      </c>
      <c r="Y128" s="12">
        <f t="shared" si="12"/>
        <v>0</v>
      </c>
      <c r="Z128" s="13">
        <f t="shared" si="12"/>
        <v>0</v>
      </c>
    </row>
    <row r="129" spans="2:26" x14ac:dyDescent="0.25">
      <c r="B129" s="4"/>
      <c r="C129" s="4"/>
      <c r="D129" s="4"/>
      <c r="E129" s="4"/>
      <c r="F129" s="4"/>
      <c r="M129" s="9">
        <v>127</v>
      </c>
      <c r="N129" s="10">
        <v>0</v>
      </c>
      <c r="O129" s="11">
        <v>0</v>
      </c>
      <c r="P129" s="12">
        <v>0</v>
      </c>
      <c r="Q129" s="13">
        <v>0</v>
      </c>
      <c r="V129" s="14">
        <f t="shared" si="7"/>
        <v>0.9921875</v>
      </c>
      <c r="W129" s="10">
        <f t="shared" si="12"/>
        <v>0</v>
      </c>
      <c r="X129" s="11">
        <f t="shared" si="12"/>
        <v>0</v>
      </c>
      <c r="Y129" s="12">
        <f t="shared" si="12"/>
        <v>0</v>
      </c>
      <c r="Z129" s="13">
        <f t="shared" si="12"/>
        <v>0</v>
      </c>
    </row>
    <row r="130" spans="2:26" x14ac:dyDescent="0.25">
      <c r="B130" s="4"/>
      <c r="C130" s="4"/>
      <c r="D130" s="4"/>
      <c r="E130" s="4"/>
      <c r="F130" s="4"/>
    </row>
    <row r="131" spans="2:26" x14ac:dyDescent="0.25">
      <c r="B131" s="4"/>
      <c r="C131" s="4"/>
      <c r="D131" s="4"/>
      <c r="E131" s="4"/>
      <c r="F131" s="4"/>
    </row>
    <row r="132" spans="2:26" x14ac:dyDescent="0.25">
      <c r="B132" s="4"/>
      <c r="C132" s="4"/>
      <c r="D132" s="4"/>
      <c r="E132" s="4"/>
      <c r="F132" s="4"/>
    </row>
    <row r="133" spans="2:26" x14ac:dyDescent="0.25">
      <c r="B133" s="4"/>
      <c r="C133" s="4"/>
      <c r="D133" s="4"/>
      <c r="E133" s="4"/>
      <c r="F133" s="4"/>
    </row>
    <row r="134" spans="2:26" x14ac:dyDescent="0.25">
      <c r="B134" s="4"/>
      <c r="C134" s="4"/>
      <c r="D134" s="4"/>
      <c r="E134" s="4"/>
      <c r="F134" s="4"/>
    </row>
    <row r="135" spans="2:26" x14ac:dyDescent="0.25">
      <c r="B135" s="4"/>
      <c r="C135" s="4"/>
      <c r="D135" s="4"/>
      <c r="E135" s="4"/>
      <c r="F135" s="4"/>
    </row>
    <row r="136" spans="2:26" x14ac:dyDescent="0.25">
      <c r="B136" s="4"/>
      <c r="C136" s="4"/>
      <c r="D136" s="4"/>
      <c r="E136" s="4"/>
      <c r="F136" s="4"/>
    </row>
    <row r="137" spans="2:26" x14ac:dyDescent="0.25">
      <c r="B137" s="4"/>
      <c r="C137" s="4"/>
      <c r="D137" s="4"/>
      <c r="E137" s="4"/>
      <c r="F137" s="4"/>
    </row>
    <row r="138" spans="2:26" x14ac:dyDescent="0.25">
      <c r="B138" s="4"/>
      <c r="C138" s="4"/>
      <c r="D138" s="4"/>
      <c r="E138" s="4"/>
      <c r="F138" s="4"/>
    </row>
    <row r="139" spans="2:26" x14ac:dyDescent="0.25">
      <c r="B139" s="4"/>
      <c r="C139" s="4"/>
      <c r="D139" s="4"/>
      <c r="E139" s="4"/>
      <c r="F139" s="4"/>
    </row>
    <row r="140" spans="2:26" x14ac:dyDescent="0.25">
      <c r="B140" s="4"/>
      <c r="C140" s="4"/>
      <c r="D140" s="4"/>
      <c r="E140" s="4"/>
      <c r="F140" s="4"/>
    </row>
    <row r="141" spans="2:26" x14ac:dyDescent="0.25">
      <c r="B141" s="4"/>
      <c r="C141" s="4"/>
      <c r="D141" s="4"/>
      <c r="E141" s="4"/>
      <c r="F141" s="4"/>
    </row>
    <row r="142" spans="2:26" x14ac:dyDescent="0.25">
      <c r="B142" s="4"/>
      <c r="C142" s="4"/>
      <c r="D142" s="4"/>
      <c r="E142" s="4"/>
      <c r="F142" s="4"/>
    </row>
    <row r="143" spans="2:26" x14ac:dyDescent="0.25">
      <c r="B143" s="4"/>
      <c r="C143" s="4"/>
      <c r="D143" s="4"/>
      <c r="E143" s="4"/>
      <c r="F143" s="4"/>
    </row>
    <row r="144" spans="2:26" x14ac:dyDescent="0.25">
      <c r="B144" s="4"/>
      <c r="C144" s="4"/>
      <c r="D144" s="4"/>
      <c r="E144" s="4"/>
      <c r="F144" s="4"/>
    </row>
    <row r="145" spans="2:6" x14ac:dyDescent="0.25">
      <c r="B145" s="4"/>
      <c r="C145" s="4"/>
      <c r="D145" s="4"/>
      <c r="E145" s="4"/>
      <c r="F145" s="4"/>
    </row>
    <row r="146" spans="2:6" x14ac:dyDescent="0.25">
      <c r="B146" s="4"/>
      <c r="C146" s="4"/>
      <c r="D146" s="4"/>
      <c r="E146" s="4"/>
      <c r="F146" s="4"/>
    </row>
    <row r="147" spans="2:6" x14ac:dyDescent="0.25">
      <c r="B147" s="4"/>
      <c r="C147" s="4"/>
      <c r="D147" s="4"/>
      <c r="E147" s="4"/>
      <c r="F147" s="4"/>
    </row>
    <row r="148" spans="2:6" x14ac:dyDescent="0.25">
      <c r="B148" s="4"/>
      <c r="C148" s="4"/>
      <c r="D148" s="4"/>
      <c r="E148" s="4"/>
      <c r="F148" s="4"/>
    </row>
    <row r="149" spans="2:6" x14ac:dyDescent="0.25">
      <c r="B149" s="4"/>
      <c r="C149" s="4"/>
      <c r="D149" s="4"/>
      <c r="E149" s="4"/>
      <c r="F149" s="4"/>
    </row>
    <row r="150" spans="2:6" x14ac:dyDescent="0.25">
      <c r="B150" s="4"/>
      <c r="C150" s="4"/>
      <c r="D150" s="4"/>
      <c r="E150" s="4"/>
      <c r="F150" s="4"/>
    </row>
    <row r="151" spans="2:6" x14ac:dyDescent="0.25">
      <c r="B151" s="4"/>
      <c r="C151" s="4"/>
      <c r="D151" s="4"/>
      <c r="E151" s="4"/>
      <c r="F151" s="4"/>
    </row>
    <row r="152" spans="2:6" x14ac:dyDescent="0.25">
      <c r="B152" s="4"/>
      <c r="C152" s="4"/>
      <c r="D152" s="4"/>
      <c r="E152" s="4"/>
      <c r="F152" s="4"/>
    </row>
    <row r="153" spans="2:6" x14ac:dyDescent="0.25">
      <c r="B153" s="4"/>
      <c r="C153" s="4"/>
      <c r="D153" s="4"/>
      <c r="E153" s="4"/>
      <c r="F153" s="4"/>
    </row>
    <row r="154" spans="2:6" x14ac:dyDescent="0.25">
      <c r="B154" s="4"/>
      <c r="C154" s="4"/>
      <c r="D154" s="4"/>
      <c r="E154" s="4"/>
      <c r="F154" s="4"/>
    </row>
    <row r="155" spans="2:6" x14ac:dyDescent="0.25">
      <c r="B155" s="4"/>
      <c r="C155" s="4"/>
      <c r="D155" s="4"/>
      <c r="E155" s="4"/>
      <c r="F155" s="4"/>
    </row>
    <row r="156" spans="2:6" x14ac:dyDescent="0.25">
      <c r="B156" s="4"/>
      <c r="C156" s="4"/>
      <c r="D156" s="4"/>
      <c r="E156" s="4"/>
      <c r="F156" s="4"/>
    </row>
    <row r="157" spans="2:6" x14ac:dyDescent="0.25">
      <c r="B157" s="4"/>
      <c r="C157" s="4"/>
      <c r="D157" s="4"/>
      <c r="E157" s="4"/>
      <c r="F157" s="4"/>
    </row>
    <row r="158" spans="2:6" x14ac:dyDescent="0.25">
      <c r="B158" s="4"/>
      <c r="C158" s="4"/>
      <c r="D158" s="4"/>
      <c r="E158" s="4"/>
      <c r="F158" s="4"/>
    </row>
    <row r="159" spans="2:6" x14ac:dyDescent="0.25">
      <c r="B159" s="4"/>
      <c r="C159" s="4"/>
      <c r="D159" s="4"/>
      <c r="E159" s="4"/>
      <c r="F159" s="4"/>
    </row>
    <row r="160" spans="2:6" x14ac:dyDescent="0.25">
      <c r="B160" s="4"/>
      <c r="C160" s="4"/>
      <c r="D160" s="4"/>
      <c r="E160" s="4"/>
      <c r="F160" s="4"/>
    </row>
    <row r="161" spans="2:6" x14ac:dyDescent="0.25">
      <c r="B161" s="4"/>
      <c r="C161" s="4"/>
      <c r="D161" s="4"/>
      <c r="E161" s="4"/>
      <c r="F161" s="4"/>
    </row>
    <row r="162" spans="2:6" x14ac:dyDescent="0.25">
      <c r="B162" s="4"/>
      <c r="C162" s="4"/>
      <c r="D162" s="4"/>
      <c r="E162" s="4"/>
      <c r="F162" s="4"/>
    </row>
    <row r="163" spans="2:6" x14ac:dyDescent="0.25">
      <c r="B163" s="4"/>
      <c r="C163" s="4"/>
      <c r="D163" s="4"/>
      <c r="E163" s="4"/>
      <c r="F163" s="4"/>
    </row>
    <row r="164" spans="2:6" x14ac:dyDescent="0.25">
      <c r="B164" s="4"/>
      <c r="C164" s="4"/>
      <c r="D164" s="4"/>
      <c r="E164" s="4"/>
      <c r="F164" s="4"/>
    </row>
    <row r="165" spans="2:6" x14ac:dyDescent="0.25">
      <c r="B165" s="4"/>
      <c r="C165" s="4"/>
      <c r="D165" s="4"/>
      <c r="E165" s="4"/>
      <c r="F165" s="4"/>
    </row>
    <row r="166" spans="2:6" x14ac:dyDescent="0.25">
      <c r="B166" s="4"/>
      <c r="C166" s="4"/>
      <c r="D166" s="4"/>
      <c r="E166" s="4"/>
      <c r="F166" s="4"/>
    </row>
    <row r="167" spans="2:6" x14ac:dyDescent="0.25">
      <c r="B167" s="4"/>
      <c r="C167" s="4"/>
      <c r="D167" s="4"/>
      <c r="E167" s="4"/>
      <c r="F167" s="4"/>
    </row>
    <row r="168" spans="2:6" x14ac:dyDescent="0.25">
      <c r="B168" s="4"/>
      <c r="C168" s="4"/>
      <c r="D168" s="4"/>
      <c r="E168" s="4"/>
      <c r="F168" s="4"/>
    </row>
    <row r="169" spans="2:6" x14ac:dyDescent="0.25">
      <c r="B169" s="4"/>
      <c r="C169" s="4"/>
      <c r="D169" s="4"/>
      <c r="E169" s="4"/>
      <c r="F169" s="4"/>
    </row>
    <row r="170" spans="2:6" x14ac:dyDescent="0.25">
      <c r="B170" s="4"/>
      <c r="C170" s="4"/>
      <c r="D170" s="4"/>
      <c r="E170" s="4"/>
      <c r="F170" s="4"/>
    </row>
    <row r="171" spans="2:6" x14ac:dyDescent="0.25">
      <c r="B171" s="4"/>
      <c r="C171" s="4"/>
      <c r="D171" s="4"/>
      <c r="E171" s="4"/>
      <c r="F171" s="4"/>
    </row>
    <row r="172" spans="2:6" x14ac:dyDescent="0.25">
      <c r="B172" s="4"/>
      <c r="C172" s="4"/>
      <c r="D172" s="4"/>
      <c r="E172" s="4"/>
      <c r="F172" s="4"/>
    </row>
    <row r="173" spans="2:6" x14ac:dyDescent="0.25">
      <c r="B173" s="4"/>
      <c r="C173" s="4"/>
      <c r="D173" s="4"/>
      <c r="E173" s="4"/>
      <c r="F173" s="4"/>
    </row>
    <row r="174" spans="2:6" x14ac:dyDescent="0.25">
      <c r="B174" s="4"/>
      <c r="C174" s="4"/>
      <c r="D174" s="4"/>
      <c r="E174" s="4"/>
      <c r="F174" s="4"/>
    </row>
    <row r="175" spans="2:6" x14ac:dyDescent="0.25">
      <c r="B175" s="4"/>
      <c r="C175" s="4"/>
      <c r="D175" s="4"/>
      <c r="E175" s="4"/>
      <c r="F175" s="4"/>
    </row>
    <row r="176" spans="2:6" x14ac:dyDescent="0.25">
      <c r="B176" s="4"/>
      <c r="C176" s="4"/>
      <c r="D176" s="4"/>
      <c r="E176" s="4"/>
      <c r="F176" s="4"/>
    </row>
    <row r="177" spans="2:6" x14ac:dyDescent="0.25">
      <c r="B177" s="4"/>
      <c r="C177" s="4"/>
      <c r="D177" s="4"/>
      <c r="E177" s="4"/>
      <c r="F177" s="4"/>
    </row>
    <row r="178" spans="2:6" x14ac:dyDescent="0.25">
      <c r="B178" s="4"/>
      <c r="C178" s="4"/>
      <c r="D178" s="4"/>
      <c r="E178" s="4"/>
      <c r="F178" s="4"/>
    </row>
    <row r="179" spans="2:6" x14ac:dyDescent="0.25">
      <c r="B179" s="4"/>
      <c r="C179" s="4"/>
      <c r="D179" s="4"/>
      <c r="E179" s="4"/>
      <c r="F179" s="4"/>
    </row>
    <row r="180" spans="2:6" x14ac:dyDescent="0.25">
      <c r="B180" s="4"/>
      <c r="C180" s="4"/>
      <c r="D180" s="4"/>
      <c r="E180" s="4"/>
      <c r="F180" s="4"/>
    </row>
    <row r="181" spans="2:6" x14ac:dyDescent="0.25">
      <c r="B181" s="4"/>
      <c r="C181" s="4"/>
      <c r="D181" s="4"/>
      <c r="E181" s="4"/>
      <c r="F181" s="4"/>
    </row>
    <row r="182" spans="2:6" x14ac:dyDescent="0.25">
      <c r="B182" s="4"/>
      <c r="C182" s="4"/>
      <c r="D182" s="4"/>
      <c r="E182" s="4"/>
      <c r="F182" s="4"/>
    </row>
    <row r="183" spans="2:6" x14ac:dyDescent="0.25">
      <c r="B183" s="4"/>
      <c r="C183" s="4"/>
      <c r="D183" s="4"/>
      <c r="E183" s="4"/>
      <c r="F183" s="4"/>
    </row>
    <row r="184" spans="2:6" x14ac:dyDescent="0.25">
      <c r="B184" s="4"/>
      <c r="C184" s="4"/>
      <c r="D184" s="4"/>
      <c r="E184" s="4"/>
      <c r="F184" s="4"/>
    </row>
    <row r="185" spans="2:6" x14ac:dyDescent="0.25">
      <c r="B185" s="4"/>
      <c r="C185" s="4"/>
      <c r="D185" s="4"/>
      <c r="E185" s="4"/>
      <c r="F185" s="4"/>
    </row>
    <row r="186" spans="2:6" x14ac:dyDescent="0.25">
      <c r="B186" s="4"/>
      <c r="C186" s="4"/>
      <c r="D186" s="4"/>
      <c r="E186" s="4"/>
      <c r="F186" s="4"/>
    </row>
    <row r="187" spans="2:6" x14ac:dyDescent="0.25">
      <c r="B187" s="4"/>
      <c r="C187" s="4"/>
      <c r="D187" s="4"/>
      <c r="E187" s="4"/>
      <c r="F187" s="4"/>
    </row>
    <row r="188" spans="2:6" x14ac:dyDescent="0.25">
      <c r="B188" s="4"/>
      <c r="C188" s="4"/>
      <c r="D188" s="4"/>
      <c r="E188" s="4"/>
      <c r="F188" s="4"/>
    </row>
    <row r="189" spans="2:6" x14ac:dyDescent="0.25">
      <c r="B189" s="4"/>
      <c r="C189" s="4"/>
      <c r="D189" s="4"/>
      <c r="E189" s="4"/>
      <c r="F189" s="4"/>
    </row>
    <row r="190" spans="2:6" x14ac:dyDescent="0.25">
      <c r="B190" s="4"/>
      <c r="C190" s="4"/>
      <c r="D190" s="4"/>
      <c r="E190" s="4"/>
      <c r="F190" s="4"/>
    </row>
    <row r="191" spans="2:6" x14ac:dyDescent="0.25">
      <c r="B191" s="4"/>
      <c r="C191" s="4"/>
      <c r="D191" s="4"/>
      <c r="E191" s="4"/>
      <c r="F191" s="4"/>
    </row>
    <row r="192" spans="2:6" x14ac:dyDescent="0.25">
      <c r="B192" s="4"/>
      <c r="C192" s="4"/>
      <c r="D192" s="4"/>
      <c r="E192" s="4"/>
      <c r="F192" s="4"/>
    </row>
    <row r="193" spans="2:6" x14ac:dyDescent="0.25">
      <c r="B193" s="4"/>
      <c r="C193" s="4"/>
      <c r="D193" s="4"/>
      <c r="E193" s="4"/>
      <c r="F193" s="4"/>
    </row>
    <row r="194" spans="2:6" x14ac:dyDescent="0.25">
      <c r="B194" s="4"/>
      <c r="C194" s="4"/>
      <c r="D194" s="4"/>
      <c r="E194" s="4"/>
      <c r="F194" s="4"/>
    </row>
    <row r="195" spans="2:6" x14ac:dyDescent="0.25">
      <c r="B195" s="4"/>
      <c r="C195" s="4"/>
      <c r="D195" s="4"/>
      <c r="E195" s="4"/>
      <c r="F195" s="4"/>
    </row>
    <row r="196" spans="2:6" x14ac:dyDescent="0.25">
      <c r="B196" s="4"/>
      <c r="C196" s="4"/>
      <c r="D196" s="4"/>
      <c r="E196" s="4"/>
      <c r="F196" s="4"/>
    </row>
    <row r="197" spans="2:6" x14ac:dyDescent="0.25">
      <c r="B197" s="4"/>
      <c r="C197" s="4"/>
      <c r="D197" s="4"/>
      <c r="E197" s="4"/>
      <c r="F197" s="4"/>
    </row>
    <row r="198" spans="2:6" x14ac:dyDescent="0.25">
      <c r="B198" s="4"/>
      <c r="C198" s="4"/>
      <c r="D198" s="4"/>
      <c r="E198" s="4"/>
      <c r="F198" s="4"/>
    </row>
    <row r="199" spans="2:6" x14ac:dyDescent="0.25">
      <c r="B199" s="4"/>
      <c r="C199" s="4"/>
      <c r="D199" s="4"/>
      <c r="E199" s="4"/>
      <c r="F199" s="4"/>
    </row>
    <row r="200" spans="2:6" x14ac:dyDescent="0.25">
      <c r="B200" s="4"/>
      <c r="C200" s="4"/>
      <c r="D200" s="4"/>
      <c r="E200" s="4"/>
      <c r="F200" s="4"/>
    </row>
    <row r="201" spans="2:6" x14ac:dyDescent="0.25">
      <c r="B201" s="4"/>
      <c r="C201" s="4"/>
      <c r="D201" s="4"/>
      <c r="E201" s="4"/>
      <c r="F201" s="4"/>
    </row>
    <row r="202" spans="2:6" x14ac:dyDescent="0.25">
      <c r="B202" s="4"/>
      <c r="C202" s="4"/>
      <c r="D202" s="4"/>
      <c r="E202" s="4"/>
      <c r="F202" s="4"/>
    </row>
    <row r="203" spans="2:6" x14ac:dyDescent="0.25">
      <c r="B203" s="4"/>
      <c r="C203" s="4"/>
      <c r="D203" s="4"/>
      <c r="E203" s="4"/>
      <c r="F203" s="4"/>
    </row>
    <row r="204" spans="2:6" x14ac:dyDescent="0.25">
      <c r="B204" s="4"/>
      <c r="C204" s="4"/>
      <c r="D204" s="4"/>
      <c r="E204" s="4"/>
      <c r="F204" s="4"/>
    </row>
    <row r="205" spans="2:6" x14ac:dyDescent="0.25">
      <c r="B205" s="4"/>
      <c r="C205" s="4"/>
      <c r="D205" s="4"/>
      <c r="E205" s="4"/>
      <c r="F205" s="4"/>
    </row>
    <row r="206" spans="2:6" x14ac:dyDescent="0.25">
      <c r="B206" s="4"/>
      <c r="C206" s="4"/>
      <c r="D206" s="4"/>
      <c r="E206" s="4"/>
      <c r="F206" s="4"/>
    </row>
    <row r="207" spans="2:6" x14ac:dyDescent="0.25">
      <c r="B207" s="4"/>
      <c r="C207" s="4"/>
      <c r="D207" s="4"/>
      <c r="E207" s="4"/>
      <c r="F207" s="4"/>
    </row>
    <row r="208" spans="2:6" x14ac:dyDescent="0.25">
      <c r="B208" s="4"/>
      <c r="C208" s="4"/>
      <c r="D208" s="4"/>
      <c r="E208" s="4"/>
      <c r="F208" s="4"/>
    </row>
    <row r="209" spans="2:6" x14ac:dyDescent="0.25">
      <c r="B209" s="4"/>
      <c r="C209" s="4"/>
      <c r="D209" s="4"/>
      <c r="E209" s="4"/>
      <c r="F209" s="4"/>
    </row>
    <row r="210" spans="2:6" x14ac:dyDescent="0.25">
      <c r="B210" s="4"/>
      <c r="C210" s="4"/>
      <c r="D210" s="4"/>
      <c r="E210" s="4"/>
      <c r="F210" s="4"/>
    </row>
    <row r="211" spans="2:6" x14ac:dyDescent="0.25">
      <c r="B211" s="4"/>
      <c r="C211" s="4"/>
      <c r="D211" s="4"/>
      <c r="E211" s="4"/>
      <c r="F211" s="4"/>
    </row>
    <row r="212" spans="2:6" x14ac:dyDescent="0.25">
      <c r="B212" s="4"/>
      <c r="C212" s="4"/>
      <c r="D212" s="4"/>
      <c r="E212" s="4"/>
      <c r="F212" s="4"/>
    </row>
    <row r="213" spans="2:6" x14ac:dyDescent="0.25">
      <c r="B213" s="4"/>
      <c r="C213" s="4"/>
      <c r="D213" s="4"/>
      <c r="E213" s="4"/>
      <c r="F213" s="4"/>
    </row>
    <row r="214" spans="2:6" x14ac:dyDescent="0.25">
      <c r="B214" s="4"/>
      <c r="C214" s="4"/>
      <c r="D214" s="4"/>
      <c r="E214" s="4"/>
      <c r="F214" s="4"/>
    </row>
    <row r="215" spans="2:6" x14ac:dyDescent="0.25">
      <c r="B215" s="4"/>
      <c r="C215" s="4"/>
      <c r="D215" s="4"/>
      <c r="E215" s="4"/>
      <c r="F215" s="4"/>
    </row>
    <row r="216" spans="2:6" x14ac:dyDescent="0.25">
      <c r="B216" s="4"/>
      <c r="C216" s="4"/>
      <c r="D216" s="4"/>
      <c r="E216" s="4"/>
      <c r="F216" s="4"/>
    </row>
    <row r="217" spans="2:6" x14ac:dyDescent="0.25">
      <c r="B217" s="4"/>
      <c r="C217" s="4"/>
      <c r="D217" s="4"/>
      <c r="E217" s="4"/>
      <c r="F217" s="4"/>
    </row>
    <row r="218" spans="2:6" x14ac:dyDescent="0.25">
      <c r="B218" s="4"/>
      <c r="C218" s="4"/>
      <c r="D218" s="4"/>
      <c r="E218" s="4"/>
      <c r="F218" s="4"/>
    </row>
    <row r="219" spans="2:6" x14ac:dyDescent="0.25">
      <c r="B219" s="4"/>
      <c r="C219" s="4"/>
      <c r="D219" s="4"/>
      <c r="E219" s="4"/>
      <c r="F219" s="4"/>
    </row>
    <row r="220" spans="2:6" x14ac:dyDescent="0.25">
      <c r="B220" s="4"/>
      <c r="C220" s="4"/>
      <c r="D220" s="4"/>
      <c r="E220" s="4"/>
      <c r="F220" s="4"/>
    </row>
    <row r="221" spans="2:6" x14ac:dyDescent="0.25">
      <c r="B221" s="4"/>
      <c r="C221" s="4"/>
      <c r="D221" s="4"/>
      <c r="E221" s="4"/>
      <c r="F221" s="4"/>
    </row>
    <row r="222" spans="2:6" x14ac:dyDescent="0.25">
      <c r="B222" s="4"/>
      <c r="C222" s="4"/>
      <c r="D222" s="4"/>
      <c r="E222" s="4"/>
      <c r="F222" s="4"/>
    </row>
    <row r="223" spans="2:6" x14ac:dyDescent="0.25">
      <c r="B223" s="4"/>
      <c r="C223" s="4"/>
      <c r="D223" s="4"/>
      <c r="E223" s="4"/>
      <c r="F223" s="4"/>
    </row>
    <row r="224" spans="2:6" x14ac:dyDescent="0.25">
      <c r="B224" s="4"/>
      <c r="C224" s="4"/>
      <c r="D224" s="4"/>
      <c r="E224" s="4"/>
      <c r="F224" s="4"/>
    </row>
    <row r="225" spans="2:6" x14ac:dyDescent="0.25">
      <c r="B225" s="4"/>
      <c r="C225" s="4"/>
      <c r="D225" s="4"/>
      <c r="E225" s="4"/>
      <c r="F225" s="4"/>
    </row>
    <row r="226" spans="2:6" x14ac:dyDescent="0.25">
      <c r="B226" s="4"/>
      <c r="C226" s="4"/>
      <c r="D226" s="4"/>
      <c r="E226" s="4"/>
      <c r="F226" s="4"/>
    </row>
    <row r="227" spans="2:6" x14ac:dyDescent="0.25">
      <c r="B227" s="4"/>
      <c r="C227" s="4"/>
      <c r="D227" s="4"/>
      <c r="E227" s="4"/>
      <c r="F227" s="4"/>
    </row>
    <row r="228" spans="2:6" x14ac:dyDescent="0.25">
      <c r="B228" s="4"/>
      <c r="C228" s="4"/>
      <c r="D228" s="4"/>
      <c r="E228" s="4"/>
      <c r="F228" s="4"/>
    </row>
    <row r="229" spans="2:6" x14ac:dyDescent="0.25">
      <c r="B229" s="4"/>
      <c r="C229" s="4"/>
      <c r="D229" s="4"/>
      <c r="E229" s="4"/>
      <c r="F229" s="4"/>
    </row>
    <row r="230" spans="2:6" x14ac:dyDescent="0.25">
      <c r="B230" s="4"/>
      <c r="C230" s="4"/>
      <c r="D230" s="4"/>
      <c r="E230" s="4"/>
      <c r="F230" s="4"/>
    </row>
    <row r="231" spans="2:6" x14ac:dyDescent="0.25">
      <c r="B231" s="4"/>
      <c r="C231" s="4"/>
      <c r="D231" s="4"/>
      <c r="E231" s="4"/>
      <c r="F231" s="4"/>
    </row>
    <row r="232" spans="2:6" x14ac:dyDescent="0.25">
      <c r="B232" s="4"/>
      <c r="C232" s="4"/>
      <c r="D232" s="4"/>
      <c r="E232" s="4"/>
      <c r="F232" s="4"/>
    </row>
    <row r="233" spans="2:6" x14ac:dyDescent="0.25">
      <c r="B233" s="4"/>
      <c r="C233" s="4"/>
      <c r="D233" s="4"/>
      <c r="E233" s="4"/>
      <c r="F233" s="4"/>
    </row>
    <row r="234" spans="2:6" x14ac:dyDescent="0.25">
      <c r="B234" s="4"/>
      <c r="C234" s="4"/>
      <c r="D234" s="4"/>
      <c r="E234" s="4"/>
      <c r="F234" s="4"/>
    </row>
    <row r="235" spans="2:6" x14ac:dyDescent="0.25">
      <c r="B235" s="4"/>
      <c r="C235" s="4"/>
      <c r="D235" s="4"/>
      <c r="E235" s="4"/>
      <c r="F235" s="4"/>
    </row>
    <row r="236" spans="2:6" x14ac:dyDescent="0.25">
      <c r="B236" s="4"/>
      <c r="C236" s="4"/>
      <c r="D236" s="4"/>
      <c r="E236" s="4"/>
      <c r="F236" s="4"/>
    </row>
    <row r="237" spans="2:6" x14ac:dyDescent="0.25">
      <c r="B237" s="4"/>
      <c r="C237" s="4"/>
      <c r="D237" s="4"/>
      <c r="E237" s="4"/>
      <c r="F237" s="4"/>
    </row>
    <row r="238" spans="2:6" x14ac:dyDescent="0.25">
      <c r="B238" s="4"/>
      <c r="C238" s="4"/>
      <c r="D238" s="4"/>
      <c r="E238" s="4"/>
      <c r="F238" s="4"/>
    </row>
    <row r="239" spans="2:6" x14ac:dyDescent="0.25">
      <c r="B239" s="4"/>
      <c r="C239" s="4"/>
      <c r="D239" s="4"/>
      <c r="E239" s="4"/>
      <c r="F239" s="4"/>
    </row>
    <row r="240" spans="2:6" x14ac:dyDescent="0.25">
      <c r="B240" s="4"/>
      <c r="C240" s="4"/>
      <c r="D240" s="4"/>
      <c r="E240" s="4"/>
      <c r="F240" s="4"/>
    </row>
    <row r="241" spans="2:6" x14ac:dyDescent="0.25">
      <c r="B241" s="4"/>
      <c r="C241" s="4"/>
      <c r="D241" s="4"/>
      <c r="E241" s="4"/>
      <c r="F241" s="4"/>
    </row>
    <row r="242" spans="2:6" x14ac:dyDescent="0.25">
      <c r="B242" s="4"/>
      <c r="C242" s="4"/>
      <c r="D242" s="4"/>
      <c r="E242" s="4"/>
      <c r="F242" s="4"/>
    </row>
    <row r="243" spans="2:6" x14ac:dyDescent="0.25">
      <c r="B243" s="4"/>
      <c r="C243" s="4"/>
      <c r="D243" s="4"/>
      <c r="E243" s="4"/>
      <c r="F243" s="4"/>
    </row>
    <row r="244" spans="2:6" x14ac:dyDescent="0.25">
      <c r="B244" s="4"/>
      <c r="C244" s="4"/>
      <c r="D244" s="4"/>
      <c r="E244" s="4"/>
      <c r="F244" s="4"/>
    </row>
    <row r="245" spans="2:6" x14ac:dyDescent="0.25">
      <c r="B245" s="4"/>
      <c r="C245" s="4"/>
      <c r="D245" s="4"/>
      <c r="E245" s="4"/>
      <c r="F245" s="4"/>
    </row>
    <row r="246" spans="2:6" x14ac:dyDescent="0.25">
      <c r="B246" s="4"/>
      <c r="C246" s="4"/>
      <c r="D246" s="4"/>
      <c r="E246" s="4"/>
      <c r="F246" s="4"/>
    </row>
    <row r="247" spans="2:6" x14ac:dyDescent="0.25">
      <c r="B247" s="4"/>
      <c r="C247" s="4"/>
      <c r="D247" s="4"/>
      <c r="E247" s="4"/>
      <c r="F247" s="4"/>
    </row>
    <row r="248" spans="2:6" x14ac:dyDescent="0.25">
      <c r="B248" s="4"/>
      <c r="C248" s="4"/>
      <c r="D248" s="4"/>
      <c r="E248" s="4"/>
      <c r="F248" s="4"/>
    </row>
    <row r="249" spans="2:6" x14ac:dyDescent="0.25">
      <c r="B249" s="4"/>
      <c r="C249" s="4"/>
      <c r="D249" s="4"/>
      <c r="E249" s="4"/>
      <c r="F249" s="4"/>
    </row>
    <row r="250" spans="2:6" x14ac:dyDescent="0.25">
      <c r="B250" s="4"/>
      <c r="C250" s="4"/>
      <c r="D250" s="4"/>
      <c r="E250" s="4"/>
      <c r="F250" s="4"/>
    </row>
    <row r="251" spans="2:6" x14ac:dyDescent="0.25">
      <c r="B251" s="4"/>
      <c r="C251" s="4"/>
      <c r="D251" s="4"/>
      <c r="E251" s="4"/>
      <c r="F251" s="4"/>
    </row>
    <row r="252" spans="2:6" x14ac:dyDescent="0.25">
      <c r="B252" s="4"/>
      <c r="C252" s="4"/>
      <c r="D252" s="4"/>
      <c r="E252" s="4"/>
      <c r="F252" s="4"/>
    </row>
    <row r="253" spans="2:6" x14ac:dyDescent="0.25">
      <c r="B253" s="4"/>
      <c r="C253" s="4"/>
      <c r="D253" s="4"/>
      <c r="E253" s="4"/>
      <c r="F253" s="4"/>
    </row>
    <row r="254" spans="2:6" x14ac:dyDescent="0.25">
      <c r="B254" s="4"/>
      <c r="C254" s="4"/>
      <c r="D254" s="4"/>
      <c r="E254" s="4"/>
      <c r="F254" s="4"/>
    </row>
    <row r="255" spans="2:6" x14ac:dyDescent="0.25">
      <c r="B255" s="4"/>
      <c r="C255" s="4"/>
      <c r="D255" s="4"/>
      <c r="E255" s="4"/>
      <c r="F255" s="4"/>
    </row>
    <row r="256" spans="2:6" x14ac:dyDescent="0.25">
      <c r="B256" s="4"/>
      <c r="C256" s="4"/>
      <c r="D256" s="4"/>
      <c r="E256" s="4"/>
      <c r="F256" s="4"/>
    </row>
    <row r="257" spans="2:6" x14ac:dyDescent="0.25">
      <c r="B257" s="4"/>
      <c r="C257" s="4"/>
      <c r="D257" s="4"/>
      <c r="E257" s="4"/>
      <c r="F257" s="4"/>
    </row>
    <row r="258" spans="2:6" x14ac:dyDescent="0.25">
      <c r="B258" s="4"/>
      <c r="C258" s="4"/>
      <c r="D258" s="4"/>
      <c r="E258" s="4"/>
      <c r="F258" s="4"/>
    </row>
    <row r="259" spans="2:6" x14ac:dyDescent="0.25">
      <c r="B259" s="4"/>
      <c r="C259" s="4"/>
      <c r="D259" s="4"/>
      <c r="E259" s="4"/>
      <c r="F259" s="4"/>
    </row>
    <row r="260" spans="2:6" x14ac:dyDescent="0.25">
      <c r="B260" s="4"/>
      <c r="C260" s="4"/>
      <c r="D260" s="4"/>
      <c r="E260" s="4"/>
      <c r="F260" s="4"/>
    </row>
    <row r="261" spans="2:6" x14ac:dyDescent="0.25">
      <c r="B261" s="4"/>
      <c r="C261" s="4"/>
      <c r="D261" s="4"/>
      <c r="E261" s="4"/>
      <c r="F261" s="4"/>
    </row>
    <row r="262" spans="2:6" x14ac:dyDescent="0.25">
      <c r="B262" s="4"/>
      <c r="C262" s="4"/>
      <c r="D262" s="4"/>
      <c r="E262" s="4"/>
      <c r="F262" s="4"/>
    </row>
    <row r="263" spans="2:6" x14ac:dyDescent="0.25">
      <c r="B263" s="4"/>
      <c r="C263" s="4"/>
      <c r="D263" s="4"/>
      <c r="E263" s="4"/>
      <c r="F263" s="4"/>
    </row>
    <row r="264" spans="2:6" x14ac:dyDescent="0.25">
      <c r="B264" s="4"/>
      <c r="C264" s="4"/>
      <c r="D264" s="4"/>
      <c r="E264" s="4"/>
      <c r="F264" s="4"/>
    </row>
    <row r="265" spans="2:6" x14ac:dyDescent="0.25">
      <c r="B265" s="4"/>
      <c r="C265" s="4"/>
      <c r="D265" s="4"/>
      <c r="E265" s="4"/>
      <c r="F265" s="4"/>
    </row>
    <row r="266" spans="2:6" x14ac:dyDescent="0.25">
      <c r="B266" s="4"/>
      <c r="C266" s="4"/>
      <c r="D266" s="4"/>
      <c r="E266" s="4"/>
      <c r="F266" s="4"/>
    </row>
    <row r="267" spans="2:6" x14ac:dyDescent="0.25">
      <c r="B267" s="4"/>
      <c r="C267" s="4"/>
      <c r="D267" s="4"/>
      <c r="E267" s="4"/>
      <c r="F267" s="4"/>
    </row>
    <row r="268" spans="2:6" x14ac:dyDescent="0.25">
      <c r="B268" s="4"/>
      <c r="C268" s="4"/>
      <c r="D268" s="4"/>
      <c r="E268" s="4"/>
      <c r="F268" s="4"/>
    </row>
    <row r="269" spans="2:6" x14ac:dyDescent="0.25">
      <c r="B269" s="4"/>
      <c r="C269" s="4"/>
      <c r="D269" s="4"/>
      <c r="E269" s="4"/>
      <c r="F269" s="4"/>
    </row>
    <row r="270" spans="2:6" x14ac:dyDescent="0.25">
      <c r="B270" s="4"/>
      <c r="C270" s="4"/>
      <c r="D270" s="4"/>
      <c r="E270" s="4"/>
      <c r="F270" s="4"/>
    </row>
    <row r="271" spans="2:6" x14ac:dyDescent="0.25">
      <c r="B271" s="4"/>
      <c r="C271" s="4"/>
      <c r="D271" s="4"/>
      <c r="E271" s="4"/>
      <c r="F271" s="4"/>
    </row>
    <row r="272" spans="2:6" x14ac:dyDescent="0.25">
      <c r="B272" s="4"/>
      <c r="C272" s="4"/>
      <c r="D272" s="4"/>
      <c r="E272" s="4"/>
      <c r="F272" s="4"/>
    </row>
    <row r="273" spans="2:6" x14ac:dyDescent="0.25">
      <c r="B273" s="4"/>
      <c r="C273" s="4"/>
      <c r="D273" s="4"/>
      <c r="E273" s="4"/>
      <c r="F273" s="4"/>
    </row>
    <row r="274" spans="2:6" x14ac:dyDescent="0.25">
      <c r="B274" s="4"/>
      <c r="C274" s="4"/>
      <c r="D274" s="4"/>
      <c r="E274" s="4"/>
      <c r="F274" s="4"/>
    </row>
    <row r="275" spans="2:6" x14ac:dyDescent="0.25">
      <c r="B275" s="4"/>
      <c r="C275" s="4"/>
      <c r="D275" s="4"/>
      <c r="E275" s="4"/>
      <c r="F275" s="4"/>
    </row>
    <row r="276" spans="2:6" x14ac:dyDescent="0.25">
      <c r="B276" s="4"/>
      <c r="C276" s="4"/>
      <c r="D276" s="4"/>
      <c r="E276" s="4"/>
      <c r="F276" s="4"/>
    </row>
    <row r="277" spans="2:6" x14ac:dyDescent="0.25">
      <c r="B277" s="4"/>
      <c r="C277" s="4"/>
      <c r="D277" s="4"/>
      <c r="E277" s="4"/>
      <c r="F277" s="4"/>
    </row>
    <row r="278" spans="2:6" x14ac:dyDescent="0.25">
      <c r="B278" s="4"/>
      <c r="C278" s="4"/>
      <c r="D278" s="4"/>
      <c r="E278" s="4"/>
      <c r="F278" s="4"/>
    </row>
    <row r="279" spans="2:6" x14ac:dyDescent="0.25">
      <c r="B279" s="4"/>
      <c r="C279" s="4"/>
      <c r="D279" s="4"/>
      <c r="E279" s="4"/>
      <c r="F279" s="4"/>
    </row>
    <row r="280" spans="2:6" x14ac:dyDescent="0.25">
      <c r="B280" s="4"/>
      <c r="C280" s="4"/>
      <c r="D280" s="4"/>
      <c r="E280" s="4"/>
      <c r="F280" s="4"/>
    </row>
    <row r="281" spans="2:6" x14ac:dyDescent="0.25">
      <c r="B281" s="4"/>
      <c r="C281" s="4"/>
      <c r="D281" s="4"/>
      <c r="E281" s="4"/>
      <c r="F281" s="4"/>
    </row>
    <row r="282" spans="2:6" x14ac:dyDescent="0.25">
      <c r="B282" s="4"/>
      <c r="C282" s="4"/>
      <c r="D282" s="4"/>
      <c r="E282" s="4"/>
      <c r="F282" s="4"/>
    </row>
    <row r="283" spans="2:6" x14ac:dyDescent="0.25">
      <c r="B283" s="4"/>
      <c r="C283" s="4"/>
      <c r="D283" s="4"/>
      <c r="E283" s="4"/>
      <c r="F283" s="4"/>
    </row>
    <row r="284" spans="2:6" x14ac:dyDescent="0.25">
      <c r="B284" s="4"/>
      <c r="C284" s="4"/>
      <c r="D284" s="4"/>
      <c r="E284" s="4"/>
      <c r="F284" s="4"/>
    </row>
    <row r="285" spans="2:6" x14ac:dyDescent="0.25">
      <c r="B285" s="4"/>
      <c r="C285" s="4"/>
      <c r="D285" s="4"/>
      <c r="E285" s="4"/>
      <c r="F285" s="4"/>
    </row>
    <row r="286" spans="2:6" x14ac:dyDescent="0.25">
      <c r="B286" s="4"/>
      <c r="C286" s="4"/>
      <c r="D286" s="4"/>
      <c r="E286" s="4"/>
      <c r="F286" s="4"/>
    </row>
    <row r="287" spans="2:6" x14ac:dyDescent="0.25">
      <c r="B287" s="4"/>
      <c r="C287" s="4"/>
      <c r="D287" s="4"/>
      <c r="E287" s="4"/>
      <c r="F287" s="4"/>
    </row>
    <row r="288" spans="2:6" x14ac:dyDescent="0.25">
      <c r="B288" s="4"/>
      <c r="C288" s="4"/>
      <c r="D288" s="4"/>
      <c r="E288" s="4"/>
      <c r="F288" s="4"/>
    </row>
    <row r="289" spans="2:6" x14ac:dyDescent="0.25">
      <c r="B289" s="4"/>
      <c r="C289" s="4"/>
      <c r="D289" s="4"/>
      <c r="E289" s="4"/>
      <c r="F289" s="4"/>
    </row>
    <row r="290" spans="2:6" x14ac:dyDescent="0.25">
      <c r="B290" s="4"/>
      <c r="C290" s="4"/>
      <c r="D290" s="4"/>
      <c r="E290" s="4"/>
      <c r="F290" s="4"/>
    </row>
    <row r="291" spans="2:6" x14ac:dyDescent="0.25">
      <c r="B291" s="4"/>
      <c r="C291" s="4"/>
      <c r="D291" s="4"/>
      <c r="E291" s="4"/>
      <c r="F291" s="4"/>
    </row>
    <row r="292" spans="2:6" x14ac:dyDescent="0.25">
      <c r="B292" s="4"/>
      <c r="C292" s="4"/>
      <c r="D292" s="4"/>
      <c r="E292" s="4"/>
      <c r="F292" s="4"/>
    </row>
    <row r="293" spans="2:6" x14ac:dyDescent="0.25">
      <c r="B293" s="4"/>
      <c r="C293" s="4"/>
      <c r="D293" s="4"/>
      <c r="E293" s="4"/>
      <c r="F293" s="4"/>
    </row>
    <row r="294" spans="2:6" x14ac:dyDescent="0.25">
      <c r="B294" s="4"/>
      <c r="C294" s="4"/>
      <c r="D294" s="4"/>
      <c r="E294" s="4"/>
      <c r="F294" s="4"/>
    </row>
    <row r="295" spans="2:6" x14ac:dyDescent="0.25">
      <c r="B295" s="4"/>
      <c r="C295" s="4"/>
      <c r="D295" s="4"/>
      <c r="E295" s="4"/>
      <c r="F295" s="4"/>
    </row>
    <row r="296" spans="2:6" x14ac:dyDescent="0.25">
      <c r="B296" s="4"/>
      <c r="C296" s="4"/>
      <c r="D296" s="4"/>
      <c r="E296" s="4"/>
      <c r="F296" s="4"/>
    </row>
    <row r="297" spans="2:6" x14ac:dyDescent="0.25">
      <c r="B297" s="4"/>
      <c r="C297" s="4"/>
      <c r="D297" s="4"/>
      <c r="E297" s="4"/>
      <c r="F297" s="4"/>
    </row>
    <row r="298" spans="2:6" x14ac:dyDescent="0.25">
      <c r="B298" s="4"/>
      <c r="C298" s="4"/>
      <c r="D298" s="4"/>
      <c r="E298" s="4"/>
      <c r="F298" s="4"/>
    </row>
    <row r="299" spans="2:6" x14ac:dyDescent="0.25">
      <c r="B299" s="4"/>
      <c r="C299" s="4"/>
      <c r="D299" s="4"/>
      <c r="E299" s="4"/>
      <c r="F299" s="4"/>
    </row>
    <row r="300" spans="2:6" x14ac:dyDescent="0.25">
      <c r="B300" s="4"/>
      <c r="C300" s="4"/>
      <c r="D300" s="4"/>
      <c r="E300" s="4"/>
      <c r="F300" s="4"/>
    </row>
    <row r="301" spans="2:6" x14ac:dyDescent="0.25">
      <c r="B301" s="4"/>
      <c r="C301" s="4"/>
      <c r="D301" s="4"/>
      <c r="E301" s="4"/>
      <c r="F301" s="4"/>
    </row>
    <row r="302" spans="2:6" x14ac:dyDescent="0.25">
      <c r="B302" s="4"/>
      <c r="C302" s="4"/>
      <c r="D302" s="4"/>
      <c r="E302" s="4"/>
      <c r="F302" s="4"/>
    </row>
    <row r="303" spans="2:6" x14ac:dyDescent="0.25">
      <c r="B303" s="4"/>
      <c r="C303" s="4"/>
      <c r="D303" s="4"/>
      <c r="E303" s="4"/>
      <c r="F303" s="4"/>
    </row>
    <row r="304" spans="2:6" x14ac:dyDescent="0.25">
      <c r="B304" s="4"/>
      <c r="C304" s="4"/>
      <c r="D304" s="4"/>
      <c r="E304" s="4"/>
      <c r="F304" s="4"/>
    </row>
    <row r="305" spans="2:6" x14ac:dyDescent="0.25">
      <c r="B305" s="4"/>
      <c r="C305" s="4"/>
      <c r="D305" s="4"/>
      <c r="E305" s="4"/>
      <c r="F305" s="4"/>
    </row>
    <row r="306" spans="2:6" x14ac:dyDescent="0.25">
      <c r="B306" s="4"/>
      <c r="C306" s="4"/>
      <c r="D306" s="4"/>
      <c r="E306" s="4"/>
      <c r="F306" s="4"/>
    </row>
    <row r="307" spans="2:6" x14ac:dyDescent="0.25">
      <c r="B307" s="4"/>
      <c r="C307" s="4"/>
      <c r="D307" s="4"/>
      <c r="E307" s="4"/>
      <c r="F307" s="4"/>
    </row>
    <row r="308" spans="2:6" x14ac:dyDescent="0.25">
      <c r="B308" s="4"/>
      <c r="C308" s="4"/>
      <c r="D308" s="4"/>
      <c r="E308" s="4"/>
      <c r="F308" s="4"/>
    </row>
    <row r="309" spans="2:6" x14ac:dyDescent="0.25">
      <c r="B309" s="4"/>
      <c r="C309" s="4"/>
      <c r="D309" s="4"/>
      <c r="E309" s="4"/>
      <c r="F309" s="4"/>
    </row>
    <row r="310" spans="2:6" x14ac:dyDescent="0.25">
      <c r="B310" s="4"/>
      <c r="C310" s="4"/>
      <c r="D310" s="4"/>
      <c r="E310" s="4"/>
      <c r="F310" s="4"/>
    </row>
    <row r="311" spans="2:6" x14ac:dyDescent="0.25">
      <c r="B311" s="4"/>
      <c r="C311" s="4"/>
      <c r="D311" s="4"/>
      <c r="E311" s="4"/>
      <c r="F311" s="4"/>
    </row>
    <row r="312" spans="2:6" x14ac:dyDescent="0.25">
      <c r="B312" s="4"/>
      <c r="C312" s="4"/>
      <c r="D312" s="4"/>
      <c r="E312" s="4"/>
      <c r="F312" s="4"/>
    </row>
    <row r="313" spans="2:6" x14ac:dyDescent="0.25">
      <c r="B313" s="4"/>
      <c r="C313" s="4"/>
      <c r="D313" s="4"/>
      <c r="E313" s="4"/>
      <c r="F313" s="4"/>
    </row>
    <row r="314" spans="2:6" x14ac:dyDescent="0.25">
      <c r="B314" s="4"/>
      <c r="C314" s="4"/>
      <c r="D314" s="4"/>
      <c r="E314" s="4"/>
      <c r="F314" s="4"/>
    </row>
    <row r="315" spans="2:6" x14ac:dyDescent="0.25">
      <c r="B315" s="4"/>
      <c r="C315" s="4"/>
      <c r="D315" s="4"/>
      <c r="E315" s="4"/>
      <c r="F315" s="4"/>
    </row>
    <row r="316" spans="2:6" x14ac:dyDescent="0.25">
      <c r="B316" s="4"/>
      <c r="C316" s="4"/>
      <c r="D316" s="4"/>
      <c r="E316" s="4"/>
      <c r="F316" s="4"/>
    </row>
    <row r="317" spans="2:6" x14ac:dyDescent="0.25">
      <c r="B317" s="4"/>
      <c r="C317" s="4"/>
      <c r="D317" s="4"/>
      <c r="E317" s="4"/>
      <c r="F317" s="4"/>
    </row>
    <row r="318" spans="2:6" x14ac:dyDescent="0.25">
      <c r="B318" s="4"/>
      <c r="C318" s="4"/>
      <c r="D318" s="4"/>
      <c r="E318" s="4"/>
      <c r="F318" s="4"/>
    </row>
    <row r="319" spans="2:6" x14ac:dyDescent="0.25">
      <c r="B319" s="4"/>
      <c r="C319" s="4"/>
      <c r="D319" s="4"/>
      <c r="E319" s="4"/>
      <c r="F319" s="4"/>
    </row>
    <row r="320" spans="2:6" x14ac:dyDescent="0.25">
      <c r="B320" s="4"/>
      <c r="C320" s="4"/>
      <c r="D320" s="4"/>
      <c r="E320" s="4"/>
      <c r="F320" s="4"/>
    </row>
    <row r="321" spans="2:6" x14ac:dyDescent="0.25">
      <c r="B321" s="4"/>
      <c r="C321" s="4"/>
      <c r="D321" s="4"/>
      <c r="E321" s="4"/>
      <c r="F321" s="4"/>
    </row>
    <row r="322" spans="2:6" x14ac:dyDescent="0.25">
      <c r="B322" s="4"/>
      <c r="C322" s="4"/>
      <c r="D322" s="4"/>
      <c r="E322" s="4"/>
      <c r="F322" s="4"/>
    </row>
    <row r="323" spans="2:6" x14ac:dyDescent="0.25">
      <c r="B323" s="4"/>
      <c r="C323" s="4"/>
      <c r="D323" s="4"/>
      <c r="E323" s="4"/>
      <c r="F323" s="4"/>
    </row>
    <row r="324" spans="2:6" x14ac:dyDescent="0.25">
      <c r="B324" s="4"/>
      <c r="C324" s="4"/>
      <c r="D324" s="4"/>
      <c r="E324" s="4"/>
      <c r="F324" s="4"/>
    </row>
    <row r="325" spans="2:6" x14ac:dyDescent="0.25">
      <c r="B325" s="4"/>
      <c r="C325" s="4"/>
      <c r="D325" s="4"/>
      <c r="E325" s="4"/>
      <c r="F325" s="4"/>
    </row>
    <row r="326" spans="2:6" x14ac:dyDescent="0.25">
      <c r="B326" s="4"/>
      <c r="C326" s="4"/>
      <c r="D326" s="4"/>
      <c r="E326" s="4"/>
      <c r="F326" s="4"/>
    </row>
    <row r="327" spans="2:6" x14ac:dyDescent="0.25">
      <c r="B327" s="4"/>
      <c r="C327" s="4"/>
      <c r="D327" s="4"/>
      <c r="E327" s="4"/>
      <c r="F327" s="4"/>
    </row>
    <row r="328" spans="2:6" x14ac:dyDescent="0.25">
      <c r="B328" s="4"/>
      <c r="C328" s="4"/>
      <c r="D328" s="4"/>
      <c r="E328" s="4"/>
      <c r="F328" s="4"/>
    </row>
    <row r="329" spans="2:6" x14ac:dyDescent="0.25">
      <c r="B329" s="4"/>
      <c r="C329" s="4"/>
      <c r="D329" s="4"/>
      <c r="E329" s="4"/>
      <c r="F329" s="4"/>
    </row>
    <row r="330" spans="2:6" x14ac:dyDescent="0.25">
      <c r="B330" s="4"/>
      <c r="C330" s="4"/>
      <c r="D330" s="4"/>
      <c r="E330" s="4"/>
      <c r="F330" s="4"/>
    </row>
    <row r="331" spans="2:6" x14ac:dyDescent="0.25">
      <c r="B331" s="4"/>
      <c r="C331" s="4"/>
      <c r="D331" s="4"/>
      <c r="E331" s="4"/>
      <c r="F331" s="4"/>
    </row>
    <row r="332" spans="2:6" x14ac:dyDescent="0.25">
      <c r="B332" s="4"/>
      <c r="C332" s="4"/>
      <c r="D332" s="4"/>
      <c r="E332" s="4"/>
      <c r="F332" s="4"/>
    </row>
    <row r="333" spans="2:6" x14ac:dyDescent="0.25">
      <c r="B333" s="4"/>
      <c r="C333" s="4"/>
      <c r="D333" s="4"/>
      <c r="E333" s="4"/>
      <c r="F333" s="4"/>
    </row>
    <row r="334" spans="2:6" x14ac:dyDescent="0.25">
      <c r="B334" s="4"/>
      <c r="C334" s="4"/>
      <c r="D334" s="4"/>
      <c r="E334" s="4"/>
      <c r="F334" s="4"/>
    </row>
    <row r="335" spans="2:6" x14ac:dyDescent="0.25">
      <c r="B335" s="4"/>
      <c r="C335" s="4"/>
      <c r="D335" s="4"/>
      <c r="E335" s="4"/>
      <c r="F335" s="4"/>
    </row>
    <row r="336" spans="2:6" x14ac:dyDescent="0.25">
      <c r="B336" s="4"/>
      <c r="C336" s="4"/>
      <c r="D336" s="4"/>
      <c r="E336" s="4"/>
      <c r="F336" s="4"/>
    </row>
    <row r="337" spans="2:6" x14ac:dyDescent="0.25">
      <c r="B337" s="4"/>
      <c r="C337" s="4"/>
      <c r="D337" s="4"/>
      <c r="E337" s="4"/>
      <c r="F337" s="4"/>
    </row>
    <row r="338" spans="2:6" x14ac:dyDescent="0.25">
      <c r="B338" s="4"/>
      <c r="C338" s="4"/>
      <c r="D338" s="4"/>
      <c r="E338" s="4"/>
      <c r="F338" s="4"/>
    </row>
    <row r="339" spans="2:6" x14ac:dyDescent="0.25">
      <c r="B339" s="4"/>
      <c r="C339" s="4"/>
      <c r="D339" s="4"/>
      <c r="E339" s="4"/>
      <c r="F339" s="4"/>
    </row>
    <row r="340" spans="2:6" x14ac:dyDescent="0.25">
      <c r="B340" s="4"/>
      <c r="C340" s="4"/>
      <c r="D340" s="4"/>
      <c r="E340" s="4"/>
      <c r="F340" s="4"/>
    </row>
    <row r="341" spans="2:6" x14ac:dyDescent="0.25">
      <c r="B341" s="4"/>
      <c r="C341" s="4"/>
      <c r="D341" s="4"/>
      <c r="E341" s="4"/>
      <c r="F341" s="4"/>
    </row>
    <row r="342" spans="2:6" x14ac:dyDescent="0.25">
      <c r="B342" s="4"/>
      <c r="C342" s="4"/>
      <c r="D342" s="4"/>
      <c r="E342" s="4"/>
      <c r="F342" s="4"/>
    </row>
    <row r="343" spans="2:6" x14ac:dyDescent="0.25">
      <c r="B343" s="4"/>
      <c r="C343" s="4"/>
      <c r="D343" s="4"/>
      <c r="E343" s="4"/>
      <c r="F343" s="4"/>
    </row>
    <row r="344" spans="2:6" x14ac:dyDescent="0.25">
      <c r="B344" s="4"/>
      <c r="C344" s="4"/>
      <c r="D344" s="4"/>
      <c r="E344" s="4"/>
      <c r="F344" s="4"/>
    </row>
    <row r="345" spans="2:6" x14ac:dyDescent="0.25">
      <c r="B345" s="4"/>
      <c r="C345" s="4"/>
      <c r="D345" s="4"/>
      <c r="E345" s="4"/>
      <c r="F345" s="4"/>
    </row>
    <row r="346" spans="2:6" x14ac:dyDescent="0.25">
      <c r="B346" s="4"/>
      <c r="C346" s="4"/>
      <c r="D346" s="4"/>
      <c r="E346" s="4"/>
      <c r="F346" s="4"/>
    </row>
    <row r="347" spans="2:6" x14ac:dyDescent="0.25">
      <c r="B347" s="4"/>
      <c r="C347" s="4"/>
      <c r="D347" s="4"/>
      <c r="E347" s="4"/>
      <c r="F347" s="4"/>
    </row>
    <row r="348" spans="2:6" x14ac:dyDescent="0.25">
      <c r="B348" s="4"/>
      <c r="C348" s="4"/>
      <c r="D348" s="4"/>
      <c r="E348" s="4"/>
      <c r="F348" s="4"/>
    </row>
    <row r="349" spans="2:6" x14ac:dyDescent="0.25">
      <c r="B349" s="4"/>
      <c r="C349" s="4"/>
      <c r="D349" s="4"/>
      <c r="E349" s="4"/>
      <c r="F349" s="4"/>
    </row>
    <row r="350" spans="2:6" x14ac:dyDescent="0.25">
      <c r="B350" s="4"/>
      <c r="C350" s="4"/>
      <c r="D350" s="4"/>
      <c r="E350" s="4"/>
      <c r="F350" s="4"/>
    </row>
    <row r="351" spans="2:6" x14ac:dyDescent="0.25">
      <c r="B351" s="4"/>
      <c r="C351" s="4"/>
      <c r="D351" s="4"/>
      <c r="E351" s="4"/>
      <c r="F351" s="4"/>
    </row>
    <row r="352" spans="2:6" x14ac:dyDescent="0.25">
      <c r="B352" s="4"/>
      <c r="C352" s="4"/>
      <c r="D352" s="4"/>
      <c r="E352" s="4"/>
      <c r="F352" s="4"/>
    </row>
    <row r="353" spans="2:6" x14ac:dyDescent="0.25">
      <c r="B353" s="4"/>
      <c r="C353" s="4"/>
      <c r="D353" s="4"/>
      <c r="E353" s="4"/>
      <c r="F353" s="4"/>
    </row>
    <row r="354" spans="2:6" x14ac:dyDescent="0.25">
      <c r="B354" s="4"/>
      <c r="C354" s="4"/>
      <c r="D354" s="4"/>
      <c r="E354" s="4"/>
      <c r="F354" s="4"/>
    </row>
    <row r="355" spans="2:6" x14ac:dyDescent="0.25">
      <c r="B355" s="4"/>
      <c r="C355" s="4"/>
      <c r="D355" s="4"/>
      <c r="E355" s="4"/>
      <c r="F355" s="4"/>
    </row>
    <row r="356" spans="2:6" x14ac:dyDescent="0.25">
      <c r="B356" s="4"/>
      <c r="C356" s="4"/>
      <c r="D356" s="4"/>
      <c r="E356" s="4"/>
      <c r="F356" s="4"/>
    </row>
    <row r="357" spans="2:6" x14ac:dyDescent="0.25">
      <c r="B357" s="4"/>
      <c r="C357" s="4"/>
      <c r="D357" s="4"/>
      <c r="E357" s="4"/>
      <c r="F357" s="4"/>
    </row>
    <row r="358" spans="2:6" x14ac:dyDescent="0.25">
      <c r="B358" s="4"/>
      <c r="C358" s="4"/>
      <c r="D358" s="4"/>
      <c r="E358" s="4"/>
      <c r="F358" s="4"/>
    </row>
    <row r="359" spans="2:6" x14ac:dyDescent="0.25">
      <c r="B359" s="4"/>
      <c r="C359" s="4"/>
      <c r="D359" s="4"/>
      <c r="E359" s="4"/>
      <c r="F359" s="4"/>
    </row>
    <row r="360" spans="2:6" x14ac:dyDescent="0.25">
      <c r="B360" s="4"/>
      <c r="C360" s="4"/>
      <c r="D360" s="4"/>
      <c r="E360" s="4"/>
      <c r="F360" s="4"/>
    </row>
    <row r="361" spans="2:6" x14ac:dyDescent="0.25">
      <c r="B361" s="4"/>
      <c r="C361" s="4"/>
      <c r="D361" s="4"/>
      <c r="E361" s="4"/>
      <c r="F361" s="4"/>
    </row>
    <row r="362" spans="2:6" x14ac:dyDescent="0.25">
      <c r="B362" s="4"/>
      <c r="C362" s="4"/>
      <c r="D362" s="4"/>
      <c r="E362" s="4"/>
      <c r="F362" s="4"/>
    </row>
    <row r="363" spans="2:6" x14ac:dyDescent="0.25">
      <c r="B363" s="4"/>
      <c r="C363" s="4"/>
      <c r="D363" s="4"/>
      <c r="E363" s="4"/>
      <c r="F363" s="4"/>
    </row>
    <row r="364" spans="2:6" x14ac:dyDescent="0.25">
      <c r="B364" s="4"/>
      <c r="C364" s="4"/>
      <c r="D364" s="4"/>
      <c r="E364" s="4"/>
      <c r="F364" s="4"/>
    </row>
    <row r="365" spans="2:6" x14ac:dyDescent="0.25">
      <c r="B365" s="4"/>
      <c r="C365" s="4"/>
      <c r="D365" s="4"/>
      <c r="E365" s="4"/>
      <c r="F365" s="4"/>
    </row>
    <row r="366" spans="2:6" x14ac:dyDescent="0.25">
      <c r="B366" s="4"/>
      <c r="C366" s="4"/>
      <c r="D366" s="4"/>
      <c r="E366" s="4"/>
      <c r="F366" s="4"/>
    </row>
    <row r="367" spans="2:6" x14ac:dyDescent="0.25">
      <c r="B367" s="4"/>
      <c r="C367" s="4"/>
      <c r="D367" s="4"/>
      <c r="E367" s="4"/>
      <c r="F367" s="4"/>
    </row>
    <row r="368" spans="2:6" x14ac:dyDescent="0.25">
      <c r="B368" s="4"/>
      <c r="C368" s="4"/>
      <c r="D368" s="4"/>
      <c r="E368" s="4"/>
      <c r="F368" s="4"/>
    </row>
    <row r="369" spans="2:6" x14ac:dyDescent="0.25">
      <c r="B369" s="4"/>
      <c r="C369" s="4"/>
      <c r="D369" s="4"/>
      <c r="E369" s="4"/>
      <c r="F369" s="4"/>
    </row>
    <row r="370" spans="2:6" x14ac:dyDescent="0.25">
      <c r="B370" s="4"/>
      <c r="C370" s="4"/>
      <c r="D370" s="4"/>
      <c r="E370" s="4"/>
      <c r="F370" s="4"/>
    </row>
    <row r="371" spans="2:6" x14ac:dyDescent="0.25">
      <c r="B371" s="4"/>
      <c r="C371" s="4"/>
      <c r="D371" s="4"/>
      <c r="E371" s="4"/>
      <c r="F371" s="4"/>
    </row>
    <row r="372" spans="2:6" x14ac:dyDescent="0.25">
      <c r="B372" s="4"/>
      <c r="C372" s="4"/>
      <c r="D372" s="4"/>
      <c r="E372" s="4"/>
      <c r="F372" s="4"/>
    </row>
    <row r="373" spans="2:6" x14ac:dyDescent="0.25">
      <c r="B373" s="4"/>
      <c r="C373" s="4"/>
      <c r="D373" s="4"/>
      <c r="E373" s="4"/>
      <c r="F373" s="4"/>
    </row>
    <row r="374" spans="2:6" x14ac:dyDescent="0.25">
      <c r="B374" s="4"/>
      <c r="C374" s="4"/>
      <c r="D374" s="4"/>
      <c r="E374" s="4"/>
      <c r="F374" s="4"/>
    </row>
    <row r="375" spans="2:6" x14ac:dyDescent="0.25">
      <c r="B375" s="4"/>
      <c r="C375" s="4"/>
      <c r="D375" s="4"/>
      <c r="E375" s="4"/>
      <c r="F375" s="4"/>
    </row>
    <row r="376" spans="2:6" x14ac:dyDescent="0.25">
      <c r="B376" s="4"/>
      <c r="C376" s="4"/>
      <c r="D376" s="4"/>
      <c r="E376" s="4"/>
      <c r="F376" s="4"/>
    </row>
    <row r="377" spans="2:6" x14ac:dyDescent="0.25">
      <c r="B377" s="4"/>
      <c r="C377" s="4"/>
      <c r="D377" s="4"/>
      <c r="E377" s="4"/>
      <c r="F377" s="4"/>
    </row>
    <row r="378" spans="2:6" x14ac:dyDescent="0.25">
      <c r="B378" s="4"/>
      <c r="C378" s="4"/>
      <c r="D378" s="4"/>
      <c r="E378" s="4"/>
      <c r="F378" s="4"/>
    </row>
    <row r="379" spans="2:6" x14ac:dyDescent="0.25">
      <c r="B379" s="4"/>
      <c r="C379" s="4"/>
      <c r="D379" s="4"/>
      <c r="E379" s="4"/>
      <c r="F379" s="4"/>
    </row>
    <row r="380" spans="2:6" x14ac:dyDescent="0.25">
      <c r="B380" s="4"/>
      <c r="C380" s="4"/>
      <c r="D380" s="4"/>
      <c r="E380" s="4"/>
      <c r="F380" s="4"/>
    </row>
    <row r="381" spans="2:6" x14ac:dyDescent="0.25">
      <c r="B381" s="4"/>
      <c r="C381" s="4"/>
      <c r="D381" s="4"/>
      <c r="E381" s="4"/>
      <c r="F381" s="4"/>
    </row>
    <row r="382" spans="2:6" x14ac:dyDescent="0.25">
      <c r="B382" s="4"/>
      <c r="C382" s="4"/>
      <c r="D382" s="4"/>
      <c r="E382" s="4"/>
      <c r="F382" s="4"/>
    </row>
    <row r="383" spans="2:6" x14ac:dyDescent="0.25">
      <c r="B383" s="4"/>
      <c r="C383" s="4"/>
      <c r="D383" s="4"/>
      <c r="E383" s="4"/>
      <c r="F383" s="4"/>
    </row>
    <row r="384" spans="2:6" x14ac:dyDescent="0.25">
      <c r="B384" s="4"/>
      <c r="C384" s="4"/>
      <c r="D384" s="4"/>
      <c r="E384" s="4"/>
      <c r="F384" s="4"/>
    </row>
    <row r="385" spans="2:6" x14ac:dyDescent="0.25">
      <c r="B385" s="4"/>
      <c r="C385" s="4"/>
      <c r="D385" s="4"/>
      <c r="E385" s="4"/>
      <c r="F385" s="4"/>
    </row>
    <row r="386" spans="2:6" x14ac:dyDescent="0.25">
      <c r="B386" s="4"/>
      <c r="C386" s="4"/>
      <c r="D386" s="4"/>
      <c r="E386" s="4"/>
      <c r="F386" s="4"/>
    </row>
    <row r="387" spans="2:6" x14ac:dyDescent="0.25">
      <c r="B387" s="4"/>
      <c r="C387" s="4"/>
      <c r="D387" s="4"/>
      <c r="E387" s="4"/>
      <c r="F387" s="4"/>
    </row>
    <row r="388" spans="2:6" x14ac:dyDescent="0.25">
      <c r="B388" s="4"/>
      <c r="C388" s="4"/>
      <c r="D388" s="4"/>
      <c r="E388" s="4"/>
      <c r="F388" s="4"/>
    </row>
    <row r="389" spans="2:6" x14ac:dyDescent="0.25">
      <c r="B389" s="4"/>
      <c r="C389" s="4"/>
      <c r="D389" s="4"/>
      <c r="E389" s="4"/>
      <c r="F389" s="4"/>
    </row>
    <row r="390" spans="2:6" x14ac:dyDescent="0.25">
      <c r="B390" s="4"/>
      <c r="C390" s="4"/>
      <c r="D390" s="4"/>
      <c r="E390" s="4"/>
      <c r="F390" s="4"/>
    </row>
    <row r="391" spans="2:6" x14ac:dyDescent="0.25">
      <c r="B391" s="4"/>
      <c r="C391" s="4"/>
      <c r="D391" s="4"/>
      <c r="E391" s="4"/>
      <c r="F391" s="4"/>
    </row>
    <row r="392" spans="2:6" x14ac:dyDescent="0.25">
      <c r="B392" s="4"/>
      <c r="C392" s="4"/>
      <c r="D392" s="4"/>
      <c r="E392" s="4"/>
      <c r="F392" s="4"/>
    </row>
    <row r="393" spans="2:6" x14ac:dyDescent="0.25">
      <c r="B393" s="4"/>
      <c r="C393" s="4"/>
      <c r="D393" s="4"/>
      <c r="E393" s="4"/>
      <c r="F393" s="4"/>
    </row>
    <row r="394" spans="2:6" x14ac:dyDescent="0.25">
      <c r="B394" s="4"/>
      <c r="C394" s="4"/>
      <c r="D394" s="4"/>
      <c r="E394" s="4"/>
      <c r="F394" s="4"/>
    </row>
    <row r="395" spans="2:6" x14ac:dyDescent="0.25">
      <c r="B395" s="4"/>
      <c r="C395" s="4"/>
      <c r="D395" s="4"/>
      <c r="E395" s="4"/>
      <c r="F395" s="4"/>
    </row>
    <row r="396" spans="2:6" x14ac:dyDescent="0.25">
      <c r="B396" s="4"/>
      <c r="C396" s="4"/>
      <c r="D396" s="4"/>
      <c r="E396" s="4"/>
      <c r="F396" s="4"/>
    </row>
    <row r="397" spans="2:6" x14ac:dyDescent="0.25">
      <c r="B397" s="4"/>
      <c r="C397" s="4"/>
      <c r="D397" s="4"/>
      <c r="E397" s="4"/>
      <c r="F397" s="4"/>
    </row>
    <row r="398" spans="2:6" x14ac:dyDescent="0.25">
      <c r="B398" s="4"/>
      <c r="C398" s="4"/>
      <c r="D398" s="4"/>
      <c r="E398" s="4"/>
      <c r="F398" s="4"/>
    </row>
    <row r="399" spans="2:6" x14ac:dyDescent="0.25">
      <c r="B399" s="4"/>
      <c r="C399" s="4"/>
      <c r="D399" s="4"/>
      <c r="E399" s="4"/>
      <c r="F399" s="4"/>
    </row>
    <row r="400" spans="2:6" x14ac:dyDescent="0.25">
      <c r="B400" s="4"/>
      <c r="C400" s="4"/>
      <c r="D400" s="4"/>
      <c r="E400" s="4"/>
      <c r="F400" s="4"/>
    </row>
    <row r="401" spans="2:6" x14ac:dyDescent="0.25">
      <c r="B401" s="4"/>
      <c r="C401" s="4"/>
      <c r="D401" s="4"/>
      <c r="E401" s="4"/>
      <c r="F401" s="4"/>
    </row>
    <row r="402" spans="2:6" x14ac:dyDescent="0.25">
      <c r="B402" s="4"/>
      <c r="C402" s="4"/>
      <c r="D402" s="4"/>
      <c r="E402" s="4"/>
      <c r="F402" s="4"/>
    </row>
    <row r="403" spans="2:6" x14ac:dyDescent="0.25">
      <c r="B403" s="4"/>
      <c r="C403" s="4"/>
      <c r="D403" s="4"/>
      <c r="E403" s="4"/>
      <c r="F403" s="4"/>
    </row>
    <row r="404" spans="2:6" x14ac:dyDescent="0.25">
      <c r="B404" s="4"/>
      <c r="C404" s="4"/>
      <c r="D404" s="4"/>
      <c r="E404" s="4"/>
      <c r="F404" s="4"/>
    </row>
    <row r="405" spans="2:6" x14ac:dyDescent="0.25">
      <c r="B405" s="4"/>
      <c r="C405" s="4"/>
      <c r="D405" s="4"/>
      <c r="E405" s="4"/>
      <c r="F405" s="4"/>
    </row>
    <row r="406" spans="2:6" x14ac:dyDescent="0.25">
      <c r="B406" s="4"/>
      <c r="C406" s="4"/>
      <c r="D406" s="4"/>
      <c r="E406" s="4"/>
      <c r="F406" s="4"/>
    </row>
    <row r="407" spans="2:6" x14ac:dyDescent="0.25">
      <c r="B407" s="4"/>
      <c r="C407" s="4"/>
      <c r="D407" s="4"/>
      <c r="E407" s="4"/>
      <c r="F407" s="4"/>
    </row>
    <row r="408" spans="2:6" x14ac:dyDescent="0.25">
      <c r="B408" s="4"/>
      <c r="C408" s="4"/>
      <c r="D408" s="4"/>
      <c r="E408" s="4"/>
      <c r="F408" s="4"/>
    </row>
    <row r="409" spans="2:6" x14ac:dyDescent="0.25">
      <c r="B409" s="4"/>
      <c r="C409" s="4"/>
      <c r="D409" s="4"/>
      <c r="E409" s="4"/>
      <c r="F409" s="4"/>
    </row>
    <row r="410" spans="2:6" x14ac:dyDescent="0.25">
      <c r="B410" s="4"/>
      <c r="C410" s="4"/>
      <c r="D410" s="4"/>
      <c r="E410" s="4"/>
      <c r="F410" s="4"/>
    </row>
    <row r="411" spans="2:6" x14ac:dyDescent="0.25">
      <c r="B411" s="4"/>
      <c r="C411" s="4"/>
      <c r="D411" s="4"/>
      <c r="E411" s="4"/>
      <c r="F411" s="4"/>
    </row>
    <row r="412" spans="2:6" x14ac:dyDescent="0.25">
      <c r="B412" s="4"/>
      <c r="C412" s="4"/>
      <c r="D412" s="4"/>
      <c r="E412" s="4"/>
      <c r="F412" s="4"/>
    </row>
    <row r="413" spans="2:6" x14ac:dyDescent="0.25">
      <c r="B413" s="4"/>
      <c r="C413" s="4"/>
      <c r="D413" s="4"/>
      <c r="E413" s="4"/>
      <c r="F413" s="4"/>
    </row>
    <row r="414" spans="2:6" x14ac:dyDescent="0.25">
      <c r="B414" s="4"/>
      <c r="C414" s="4"/>
      <c r="D414" s="4"/>
      <c r="E414" s="4"/>
      <c r="F414" s="4"/>
    </row>
    <row r="415" spans="2:6" x14ac:dyDescent="0.25">
      <c r="B415" s="4"/>
      <c r="C415" s="4"/>
      <c r="D415" s="4"/>
      <c r="E415" s="4"/>
      <c r="F415" s="4"/>
    </row>
    <row r="416" spans="2:6" x14ac:dyDescent="0.25">
      <c r="B416" s="4"/>
      <c r="C416" s="4"/>
      <c r="D416" s="4"/>
      <c r="E416" s="4"/>
      <c r="F416" s="4"/>
    </row>
    <row r="417" spans="2:6" x14ac:dyDescent="0.25">
      <c r="B417" s="4"/>
      <c r="C417" s="4"/>
      <c r="D417" s="4"/>
      <c r="E417" s="4"/>
      <c r="F417" s="4"/>
    </row>
    <row r="418" spans="2:6" x14ac:dyDescent="0.25">
      <c r="B418" s="4"/>
      <c r="C418" s="4"/>
      <c r="D418" s="4"/>
      <c r="E418" s="4"/>
      <c r="F418" s="4"/>
    </row>
    <row r="419" spans="2:6" x14ac:dyDescent="0.25">
      <c r="B419" s="4"/>
      <c r="C419" s="4"/>
      <c r="D419" s="4"/>
      <c r="E419" s="4"/>
      <c r="F419" s="4"/>
    </row>
    <row r="420" spans="2:6" x14ac:dyDescent="0.25">
      <c r="B420" s="4"/>
      <c r="C420" s="4"/>
      <c r="D420" s="4"/>
      <c r="E420" s="4"/>
      <c r="F420" s="4"/>
    </row>
    <row r="421" spans="2:6" x14ac:dyDescent="0.25">
      <c r="B421" s="4"/>
      <c r="C421" s="4"/>
      <c r="D421" s="4"/>
      <c r="E421" s="4"/>
      <c r="F421" s="4"/>
    </row>
    <row r="422" spans="2:6" x14ac:dyDescent="0.25">
      <c r="B422" s="4"/>
      <c r="C422" s="4"/>
      <c r="D422" s="4"/>
      <c r="E422" s="4"/>
      <c r="F422" s="4"/>
    </row>
    <row r="423" spans="2:6" x14ac:dyDescent="0.25">
      <c r="B423" s="4"/>
      <c r="C423" s="4"/>
      <c r="D423" s="4"/>
      <c r="E423" s="4"/>
      <c r="F423" s="4"/>
    </row>
    <row r="424" spans="2:6" x14ac:dyDescent="0.25">
      <c r="B424" s="4"/>
      <c r="C424" s="4"/>
      <c r="D424" s="4"/>
      <c r="E424" s="4"/>
      <c r="F424" s="4"/>
    </row>
    <row r="425" spans="2:6" x14ac:dyDescent="0.25">
      <c r="B425" s="4"/>
      <c r="C425" s="4"/>
      <c r="D425" s="4"/>
      <c r="E425" s="4"/>
      <c r="F425" s="4"/>
    </row>
    <row r="426" spans="2:6" x14ac:dyDescent="0.25">
      <c r="B426" s="4"/>
      <c r="C426" s="4"/>
      <c r="D426" s="4"/>
      <c r="E426" s="4"/>
      <c r="F426" s="4"/>
    </row>
    <row r="427" spans="2:6" x14ac:dyDescent="0.25">
      <c r="B427" s="4"/>
      <c r="C427" s="4"/>
      <c r="D427" s="4"/>
      <c r="E427" s="4"/>
      <c r="F427" s="4"/>
    </row>
    <row r="428" spans="2:6" x14ac:dyDescent="0.25">
      <c r="B428" s="4"/>
      <c r="C428" s="4"/>
      <c r="D428" s="4"/>
      <c r="E428" s="4"/>
      <c r="F428" s="4"/>
    </row>
    <row r="429" spans="2:6" x14ac:dyDescent="0.25">
      <c r="B429" s="4"/>
      <c r="C429" s="4"/>
      <c r="D429" s="4"/>
      <c r="E429" s="4"/>
      <c r="F429" s="4"/>
    </row>
    <row r="430" spans="2:6" x14ac:dyDescent="0.25">
      <c r="B430" s="4"/>
      <c r="C430" s="4"/>
      <c r="D430" s="4"/>
      <c r="E430" s="4"/>
      <c r="F430" s="4"/>
    </row>
    <row r="431" spans="2:6" x14ac:dyDescent="0.25">
      <c r="B431" s="4"/>
      <c r="C431" s="4"/>
      <c r="D431" s="4"/>
      <c r="E431" s="4"/>
      <c r="F431" s="4"/>
    </row>
    <row r="432" spans="2:6" x14ac:dyDescent="0.25">
      <c r="B432" s="4"/>
      <c r="C432" s="4"/>
      <c r="D432" s="4"/>
      <c r="E432" s="4"/>
      <c r="F432" s="4"/>
    </row>
    <row r="433" spans="2:6" x14ac:dyDescent="0.25">
      <c r="B433" s="4"/>
      <c r="C433" s="4"/>
      <c r="D433" s="4"/>
      <c r="E433" s="4"/>
      <c r="F433" s="4"/>
    </row>
    <row r="434" spans="2:6" x14ac:dyDescent="0.25">
      <c r="B434" s="4"/>
      <c r="C434" s="4"/>
      <c r="D434" s="4"/>
      <c r="E434" s="4"/>
      <c r="F434" s="4"/>
    </row>
    <row r="435" spans="2:6" x14ac:dyDescent="0.25">
      <c r="B435" s="4"/>
      <c r="C435" s="4"/>
      <c r="D435" s="4"/>
      <c r="E435" s="4"/>
      <c r="F435" s="4"/>
    </row>
    <row r="436" spans="2:6" x14ac:dyDescent="0.25">
      <c r="B436" s="4"/>
      <c r="C436" s="4"/>
      <c r="D436" s="4"/>
      <c r="E436" s="4"/>
      <c r="F436" s="4"/>
    </row>
    <row r="437" spans="2:6" x14ac:dyDescent="0.25">
      <c r="B437" s="4"/>
      <c r="C437" s="4"/>
      <c r="D437" s="4"/>
      <c r="E437" s="4"/>
      <c r="F437" s="4"/>
    </row>
    <row r="438" spans="2:6" x14ac:dyDescent="0.25">
      <c r="B438" s="4"/>
      <c r="C438" s="4"/>
      <c r="D438" s="4"/>
      <c r="E438" s="4"/>
      <c r="F438" s="4"/>
    </row>
    <row r="439" spans="2:6" x14ac:dyDescent="0.25">
      <c r="B439" s="4"/>
      <c r="C439" s="4"/>
      <c r="D439" s="4"/>
      <c r="E439" s="4"/>
      <c r="F439" s="4"/>
    </row>
    <row r="440" spans="2:6" x14ac:dyDescent="0.25">
      <c r="B440" s="4"/>
      <c r="C440" s="4"/>
      <c r="D440" s="4"/>
      <c r="E440" s="4"/>
      <c r="F440" s="4"/>
    </row>
    <row r="441" spans="2:6" x14ac:dyDescent="0.25">
      <c r="B441" s="4"/>
      <c r="C441" s="4"/>
      <c r="D441" s="4"/>
      <c r="E441" s="4"/>
      <c r="F441" s="4"/>
    </row>
    <row r="442" spans="2:6" x14ac:dyDescent="0.25">
      <c r="B442" s="4"/>
      <c r="C442" s="4"/>
      <c r="D442" s="4"/>
      <c r="E442" s="4"/>
      <c r="F442" s="4"/>
    </row>
    <row r="443" spans="2:6" x14ac:dyDescent="0.25">
      <c r="B443" s="4"/>
      <c r="C443" s="4"/>
      <c r="D443" s="4"/>
      <c r="E443" s="4"/>
      <c r="F443" s="4"/>
    </row>
    <row r="444" spans="2:6" x14ac:dyDescent="0.25">
      <c r="B444" s="4"/>
      <c r="C444" s="4"/>
      <c r="D444" s="4"/>
      <c r="E444" s="4"/>
      <c r="F444" s="4"/>
    </row>
    <row r="445" spans="2:6" x14ac:dyDescent="0.25">
      <c r="B445" s="4"/>
      <c r="C445" s="4"/>
      <c r="D445" s="4"/>
      <c r="E445" s="4"/>
      <c r="F445" s="4"/>
    </row>
    <row r="446" spans="2:6" x14ac:dyDescent="0.25">
      <c r="B446" s="4"/>
      <c r="C446" s="4"/>
      <c r="D446" s="4"/>
      <c r="E446" s="4"/>
      <c r="F446" s="4"/>
    </row>
    <row r="447" spans="2:6" x14ac:dyDescent="0.25">
      <c r="B447" s="4"/>
      <c r="C447" s="4"/>
      <c r="D447" s="4"/>
      <c r="E447" s="4"/>
      <c r="F447" s="4"/>
    </row>
    <row r="448" spans="2:6" x14ac:dyDescent="0.25">
      <c r="B448" s="4"/>
      <c r="C448" s="4"/>
      <c r="D448" s="4"/>
      <c r="E448" s="4"/>
      <c r="F448" s="4"/>
    </row>
    <row r="449" spans="2:6" x14ac:dyDescent="0.25">
      <c r="B449" s="4"/>
      <c r="C449" s="4"/>
      <c r="D449" s="4"/>
      <c r="E449" s="4"/>
      <c r="F449" s="4"/>
    </row>
    <row r="450" spans="2:6" x14ac:dyDescent="0.25">
      <c r="B450" s="4"/>
      <c r="C450" s="4"/>
      <c r="D450" s="4"/>
      <c r="E450" s="4"/>
      <c r="F450" s="4"/>
    </row>
    <row r="451" spans="2:6" x14ac:dyDescent="0.25">
      <c r="B451" s="4"/>
      <c r="C451" s="4"/>
      <c r="D451" s="4"/>
      <c r="E451" s="4"/>
      <c r="F451" s="4"/>
    </row>
    <row r="452" spans="2:6" x14ac:dyDescent="0.25">
      <c r="B452" s="4"/>
      <c r="C452" s="4"/>
      <c r="D452" s="4"/>
      <c r="E452" s="4"/>
      <c r="F452" s="4"/>
    </row>
    <row r="453" spans="2:6" x14ac:dyDescent="0.25">
      <c r="B453" s="4"/>
      <c r="C453" s="4"/>
      <c r="D453" s="4"/>
      <c r="E453" s="4"/>
      <c r="F453" s="4"/>
    </row>
    <row r="454" spans="2:6" x14ac:dyDescent="0.25">
      <c r="B454" s="4"/>
      <c r="C454" s="4"/>
      <c r="D454" s="4"/>
      <c r="E454" s="4"/>
      <c r="F454" s="4"/>
    </row>
    <row r="455" spans="2:6" x14ac:dyDescent="0.25">
      <c r="B455" s="4"/>
      <c r="C455" s="4"/>
      <c r="D455" s="4"/>
      <c r="E455" s="4"/>
      <c r="F455" s="4"/>
    </row>
    <row r="456" spans="2:6" x14ac:dyDescent="0.25">
      <c r="B456" s="4"/>
      <c r="C456" s="4"/>
      <c r="D456" s="4"/>
      <c r="E456" s="4"/>
      <c r="F456" s="4"/>
    </row>
    <row r="457" spans="2:6" x14ac:dyDescent="0.25">
      <c r="B457" s="4"/>
      <c r="C457" s="4"/>
      <c r="D457" s="4"/>
      <c r="E457" s="4"/>
      <c r="F457" s="4"/>
    </row>
    <row r="458" spans="2:6" x14ac:dyDescent="0.25">
      <c r="B458" s="4"/>
      <c r="C458" s="4"/>
      <c r="D458" s="4"/>
      <c r="E458" s="4"/>
      <c r="F458" s="4"/>
    </row>
    <row r="459" spans="2:6" x14ac:dyDescent="0.25">
      <c r="B459" s="4"/>
      <c r="C459" s="4"/>
      <c r="D459" s="4"/>
      <c r="E459" s="4"/>
      <c r="F459" s="4"/>
    </row>
    <row r="460" spans="2:6" x14ac:dyDescent="0.25">
      <c r="B460" s="4"/>
      <c r="C460" s="4"/>
      <c r="D460" s="4"/>
      <c r="E460" s="4"/>
      <c r="F460" s="4"/>
    </row>
    <row r="461" spans="2:6" x14ac:dyDescent="0.25">
      <c r="B461" s="4"/>
      <c r="C461" s="4"/>
      <c r="D461" s="4"/>
      <c r="E461" s="4"/>
      <c r="F461" s="4"/>
    </row>
    <row r="462" spans="2:6" x14ac:dyDescent="0.25">
      <c r="B462" s="4"/>
      <c r="C462" s="4"/>
      <c r="D462" s="4"/>
      <c r="E462" s="4"/>
      <c r="F462" s="4"/>
    </row>
    <row r="463" spans="2:6" x14ac:dyDescent="0.25">
      <c r="B463" s="4"/>
      <c r="C463" s="4"/>
      <c r="D463" s="4"/>
      <c r="E463" s="4"/>
      <c r="F463" s="4"/>
    </row>
    <row r="464" spans="2:6" x14ac:dyDescent="0.25">
      <c r="B464" s="4"/>
      <c r="C464" s="4"/>
      <c r="D464" s="4"/>
      <c r="E464" s="4"/>
      <c r="F464" s="4"/>
    </row>
    <row r="465" spans="2:6" x14ac:dyDescent="0.25">
      <c r="B465" s="4"/>
      <c r="C465" s="4"/>
      <c r="D465" s="4"/>
      <c r="E465" s="4"/>
      <c r="F465" s="4"/>
    </row>
    <row r="466" spans="2:6" x14ac:dyDescent="0.25">
      <c r="B466" s="4"/>
      <c r="C466" s="4"/>
      <c r="D466" s="4"/>
      <c r="E466" s="4"/>
      <c r="F466" s="4"/>
    </row>
    <row r="467" spans="2:6" x14ac:dyDescent="0.25">
      <c r="B467" s="4"/>
      <c r="C467" s="4"/>
      <c r="D467" s="4"/>
      <c r="E467" s="4"/>
      <c r="F467" s="4"/>
    </row>
    <row r="468" spans="2:6" x14ac:dyDescent="0.25">
      <c r="B468" s="4"/>
      <c r="C468" s="4"/>
      <c r="D468" s="4"/>
      <c r="E468" s="4"/>
      <c r="F468" s="4"/>
    </row>
    <row r="469" spans="2:6" x14ac:dyDescent="0.25">
      <c r="B469" s="4"/>
      <c r="C469" s="4"/>
      <c r="D469" s="4"/>
      <c r="E469" s="4"/>
      <c r="F469" s="4"/>
    </row>
    <row r="470" spans="2:6" x14ac:dyDescent="0.25">
      <c r="B470" s="4"/>
      <c r="C470" s="4"/>
      <c r="D470" s="4"/>
      <c r="E470" s="4"/>
      <c r="F470" s="4"/>
    </row>
    <row r="471" spans="2:6" x14ac:dyDescent="0.25">
      <c r="B471" s="4"/>
      <c r="C471" s="4"/>
      <c r="D471" s="4"/>
      <c r="E471" s="4"/>
      <c r="F471" s="4"/>
    </row>
    <row r="472" spans="2:6" x14ac:dyDescent="0.25">
      <c r="B472" s="4"/>
      <c r="C472" s="4"/>
      <c r="D472" s="4"/>
      <c r="E472" s="4"/>
      <c r="F472" s="4"/>
    </row>
    <row r="473" spans="2:6" x14ac:dyDescent="0.25">
      <c r="B473" s="4"/>
      <c r="C473" s="4"/>
      <c r="D473" s="4"/>
      <c r="E473" s="4"/>
      <c r="F473" s="4"/>
    </row>
    <row r="474" spans="2:6" x14ac:dyDescent="0.25">
      <c r="B474" s="4"/>
      <c r="C474" s="4"/>
      <c r="D474" s="4"/>
      <c r="E474" s="4"/>
      <c r="F474" s="4"/>
    </row>
    <row r="475" spans="2:6" x14ac:dyDescent="0.25">
      <c r="B475" s="4"/>
      <c r="C475" s="4"/>
      <c r="D475" s="4"/>
      <c r="E475" s="4"/>
      <c r="F475" s="4"/>
    </row>
    <row r="476" spans="2:6" x14ac:dyDescent="0.25">
      <c r="B476" s="4"/>
      <c r="C476" s="4"/>
      <c r="D476" s="4"/>
      <c r="E476" s="4"/>
      <c r="F476" s="4"/>
    </row>
    <row r="477" spans="2:6" x14ac:dyDescent="0.25">
      <c r="B477" s="4"/>
      <c r="C477" s="4"/>
      <c r="D477" s="4"/>
      <c r="E477" s="4"/>
      <c r="F477" s="4"/>
    </row>
    <row r="478" spans="2:6" x14ac:dyDescent="0.25">
      <c r="B478" s="4"/>
      <c r="C478" s="4"/>
      <c r="D478" s="4"/>
      <c r="E478" s="4"/>
      <c r="F478" s="4"/>
    </row>
    <row r="479" spans="2:6" x14ac:dyDescent="0.25">
      <c r="B479" s="4"/>
      <c r="C479" s="4"/>
      <c r="D479" s="4"/>
      <c r="E479" s="4"/>
      <c r="F479" s="4"/>
    </row>
    <row r="480" spans="2:6" x14ac:dyDescent="0.25">
      <c r="B480" s="4"/>
      <c r="C480" s="4"/>
      <c r="D480" s="4"/>
      <c r="E480" s="4"/>
      <c r="F480" s="4"/>
    </row>
    <row r="481" spans="2:6" x14ac:dyDescent="0.25">
      <c r="B481" s="4"/>
      <c r="C481" s="4"/>
      <c r="D481" s="4"/>
      <c r="E481" s="4"/>
      <c r="F481" s="4"/>
    </row>
    <row r="482" spans="2:6" x14ac:dyDescent="0.25">
      <c r="B482" s="4"/>
      <c r="C482" s="4"/>
      <c r="D482" s="4"/>
      <c r="E482" s="4"/>
      <c r="F482" s="4"/>
    </row>
    <row r="483" spans="2:6" x14ac:dyDescent="0.25">
      <c r="B483" s="4"/>
      <c r="C483" s="4"/>
      <c r="D483" s="4"/>
      <c r="E483" s="4"/>
      <c r="F483" s="4"/>
    </row>
    <row r="484" spans="2:6" x14ac:dyDescent="0.25">
      <c r="B484" s="4"/>
      <c r="C484" s="4"/>
      <c r="D484" s="4"/>
      <c r="E484" s="4"/>
      <c r="F484" s="4"/>
    </row>
    <row r="485" spans="2:6" x14ac:dyDescent="0.25">
      <c r="B485" s="4"/>
      <c r="C485" s="4"/>
      <c r="D485" s="4"/>
      <c r="E485" s="4"/>
      <c r="F485" s="4"/>
    </row>
    <row r="486" spans="2:6" x14ac:dyDescent="0.25">
      <c r="B486" s="4"/>
      <c r="C486" s="4"/>
      <c r="D486" s="4"/>
      <c r="E486" s="4"/>
      <c r="F486" s="4"/>
    </row>
    <row r="487" spans="2:6" x14ac:dyDescent="0.25">
      <c r="B487" s="4"/>
      <c r="C487" s="4"/>
      <c r="D487" s="4"/>
      <c r="E487" s="4"/>
      <c r="F487" s="4"/>
    </row>
    <row r="488" spans="2:6" x14ac:dyDescent="0.25">
      <c r="B488" s="4"/>
      <c r="C488" s="4"/>
      <c r="D488" s="4"/>
      <c r="E488" s="4"/>
      <c r="F488" s="4"/>
    </row>
    <row r="489" spans="2:6" x14ac:dyDescent="0.25">
      <c r="B489" s="4"/>
      <c r="C489" s="4"/>
      <c r="D489" s="4"/>
      <c r="E489" s="4"/>
      <c r="F489" s="4"/>
    </row>
    <row r="490" spans="2:6" x14ac:dyDescent="0.25">
      <c r="B490" s="4"/>
      <c r="C490" s="4"/>
      <c r="D490" s="4"/>
      <c r="E490" s="4"/>
      <c r="F490" s="4"/>
    </row>
    <row r="491" spans="2:6" x14ac:dyDescent="0.25">
      <c r="B491" s="4"/>
      <c r="C491" s="4"/>
      <c r="D491" s="4"/>
      <c r="E491" s="4"/>
      <c r="F491" s="4"/>
    </row>
    <row r="492" spans="2:6" x14ac:dyDescent="0.25">
      <c r="B492" s="4"/>
      <c r="C492" s="4"/>
      <c r="D492" s="4"/>
      <c r="E492" s="4"/>
      <c r="F492" s="4"/>
    </row>
    <row r="493" spans="2:6" x14ac:dyDescent="0.25">
      <c r="B493" s="4"/>
      <c r="C493" s="4"/>
      <c r="D493" s="4"/>
      <c r="E493" s="4"/>
      <c r="F493" s="4"/>
    </row>
    <row r="494" spans="2:6" x14ac:dyDescent="0.25">
      <c r="B494" s="4"/>
      <c r="C494" s="4"/>
      <c r="D494" s="4"/>
      <c r="E494" s="4"/>
      <c r="F494" s="4"/>
    </row>
    <row r="495" spans="2:6" x14ac:dyDescent="0.25">
      <c r="B495" s="4"/>
      <c r="C495" s="4"/>
      <c r="D495" s="4"/>
      <c r="E495" s="4"/>
      <c r="F495" s="4"/>
    </row>
    <row r="496" spans="2:6" x14ac:dyDescent="0.25">
      <c r="B496" s="4"/>
      <c r="C496" s="4"/>
      <c r="D496" s="4"/>
      <c r="E496" s="4"/>
      <c r="F496" s="4"/>
    </row>
    <row r="497" spans="2:6" x14ac:dyDescent="0.25">
      <c r="B497" s="4"/>
      <c r="C497" s="4"/>
      <c r="D497" s="4"/>
      <c r="E497" s="4"/>
      <c r="F497" s="4"/>
    </row>
    <row r="498" spans="2:6" x14ac:dyDescent="0.25">
      <c r="B498" s="4"/>
      <c r="C498" s="4"/>
      <c r="D498" s="4"/>
      <c r="E498" s="4"/>
      <c r="F498" s="4"/>
    </row>
    <row r="499" spans="2:6" x14ac:dyDescent="0.25">
      <c r="B499" s="4"/>
      <c r="C499" s="4"/>
      <c r="D499" s="4"/>
      <c r="E499" s="4"/>
      <c r="F499" s="4"/>
    </row>
  </sheetData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1BDD5-BBA7-497C-880E-3FB253311E91}">
  <dimension ref="A1:H1"/>
  <sheetViews>
    <sheetView workbookViewId="0">
      <selection activeCell="A2" sqref="A2"/>
    </sheetView>
  </sheetViews>
  <sheetFormatPr defaultRowHeight="14.3" x14ac:dyDescent="0.25"/>
  <cols>
    <col min="1" max="1" width="2.625" bestFit="1" customWidth="1"/>
    <col min="2" max="2" width="7.375" bestFit="1" customWidth="1"/>
    <col min="3" max="3" width="15.25" bestFit="1" customWidth="1"/>
    <col min="4" max="4" width="16.5" bestFit="1" customWidth="1"/>
    <col min="5" max="5" width="27.125" bestFit="1" customWidth="1"/>
    <col min="6" max="6" width="28.375" bestFit="1" customWidth="1"/>
    <col min="7" max="7" width="21.75" bestFit="1" customWidth="1"/>
    <col min="8" max="8" width="23" bestFit="1" customWidth="1"/>
  </cols>
  <sheetData>
    <row r="1" spans="1:8" x14ac:dyDescent="0.25">
      <c r="A1" s="5" t="s">
        <v>2</v>
      </c>
      <c r="B1" s="5" t="s">
        <v>17</v>
      </c>
      <c r="C1" s="5" t="s">
        <v>18</v>
      </c>
      <c r="D1" s="5" t="s">
        <v>19</v>
      </c>
      <c r="E1" s="5" t="s">
        <v>20</v>
      </c>
      <c r="F1" s="5" t="s">
        <v>21</v>
      </c>
      <c r="G1" s="5" t="s">
        <v>22</v>
      </c>
      <c r="H1" s="5" t="s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Sheet0</vt:lpstr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Julian Broude</cp:lastModifiedBy>
  <dcterms:created xsi:type="dcterms:W3CDTF">2021-01-08T17:46:37Z</dcterms:created>
  <dcterms:modified xsi:type="dcterms:W3CDTF">2021-01-17T11:21:21Z</dcterms:modified>
</cp:coreProperties>
</file>